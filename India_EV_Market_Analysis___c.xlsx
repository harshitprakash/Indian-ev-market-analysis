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Data Analytic\New folder\Excel\"/>
    </mc:Choice>
  </mc:AlternateContent>
  <bookViews>
    <workbookView xWindow="0" yWindow="0" windowWidth="22932" windowHeight="8628" firstSheet="2" activeTab="6"/>
  </bookViews>
  <sheets>
    <sheet name="ev_sales_by_makers_and_cat_15-2" sheetId="4" r:id="rId1"/>
    <sheet name="ev_cat_01-24" sheetId="3" r:id="rId2"/>
    <sheet name="OperationalPC" sheetId="5" r:id="rId3"/>
    <sheet name="Vehicle Class - All" sheetId="6" r:id="rId4"/>
    <sheet name="EV Maker by Place" sheetId="2" r:id="rId5"/>
    <sheet name="Analysis" sheetId="7" r:id="rId6"/>
    <sheet name="Dashboard" sheetId="9" r:id="rId7"/>
  </sheets>
  <definedNames>
    <definedName name="_xlcn.WorksheetConnection_India_EV_Market_AnalysisRecovered1version2.xlsbTable11" hidden="1">Table11[]</definedName>
    <definedName name="_xlcn.WorksheetConnection_India_EV_Market_AnalysisRecovered1version2.xlsbTable13" hidden="1">Table13[]</definedName>
    <definedName name="_xlnm.Print_Area" localSheetId="6">Dashboard!$A$1:$AB$46</definedName>
    <definedName name="Slicer_Cat">#N/A</definedName>
    <definedName name="Slicer_State">#N/A</definedName>
  </definedNames>
  <calcPr calcId="152511"/>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3-4cdcdad5-ef80-41dd-8494-86d6fce1aa3f" name="Table13" connection="WorksheetConnection_India_EV_Market_Analysis (Recovered)1 (version 2).xlsb!Table13"/>
          <x15:modelTable id="Table11-e57170f4-d283-4086-a6bf-082330c89c93" name="Table11" connection="WorksheetConnection_India_EV_Market_Analysis (Recovered)1 (version 2).xlsb!Table11"/>
        </x15:modelTables>
        <x15:modelRelationships>
          <x15:modelRelationship fromTable="Table13" fromColumn="State" toTable="Table11" toColumn="State"/>
        </x15:modelRelationships>
      </x15:dataModel>
    </ext>
  </extLst>
</workbook>
</file>

<file path=xl/calcChain.xml><?xml version="1.0" encoding="utf-8"?>
<calcChain xmlns="http://schemas.openxmlformats.org/spreadsheetml/2006/main">
  <c r="B8" i="7" l="1"/>
  <c r="B9" i="7" s="1"/>
  <c r="D45" i="7"/>
  <c r="E45" i="7"/>
  <c r="C3" i="9"/>
  <c r="I4" i="9" l="1"/>
  <c r="H3" i="9"/>
  <c r="M12" i="7"/>
  <c r="M13" i="7" s="1"/>
  <c r="Q3" i="9" s="1"/>
  <c r="W3" i="9"/>
  <c r="B8" i="5" l="1"/>
  <c r="R285" i="3"/>
  <c r="R284" i="3"/>
  <c r="R283" i="3"/>
  <c r="R282" i="3"/>
  <c r="R281" i="3"/>
  <c r="R280" i="3"/>
  <c r="R279" i="3"/>
  <c r="R278" i="3"/>
  <c r="R277" i="3"/>
  <c r="R276" i="3"/>
  <c r="R275" i="3"/>
  <c r="R274" i="3"/>
  <c r="R273" i="3"/>
  <c r="R272" i="3"/>
  <c r="R271" i="3"/>
  <c r="R270" i="3"/>
  <c r="R269" i="3"/>
  <c r="R268" i="3"/>
  <c r="R267" i="3"/>
  <c r="R266" i="3"/>
  <c r="R265" i="3"/>
  <c r="R264" i="3"/>
  <c r="R263" i="3"/>
  <c r="R262" i="3"/>
  <c r="R261" i="3"/>
  <c r="R260" i="3"/>
  <c r="R259" i="3"/>
  <c r="R258" i="3"/>
  <c r="R257" i="3"/>
  <c r="R256" i="3"/>
  <c r="R255" i="3"/>
  <c r="R254" i="3"/>
  <c r="R253" i="3"/>
  <c r="R252" i="3"/>
  <c r="R251" i="3"/>
  <c r="R250" i="3"/>
  <c r="R249" i="3"/>
  <c r="R248" i="3"/>
  <c r="R247" i="3"/>
  <c r="R246" i="3"/>
  <c r="R245" i="3"/>
  <c r="R244" i="3"/>
  <c r="R243" i="3"/>
  <c r="R242" i="3"/>
  <c r="R241" i="3"/>
  <c r="R240" i="3"/>
  <c r="R239" i="3"/>
  <c r="R238" i="3"/>
  <c r="R237" i="3"/>
  <c r="R236" i="3"/>
  <c r="R235" i="3"/>
  <c r="R234" i="3"/>
  <c r="R233" i="3"/>
  <c r="R232" i="3"/>
  <c r="R231" i="3"/>
  <c r="R230" i="3"/>
  <c r="R229" i="3"/>
  <c r="R228" i="3"/>
  <c r="R227" i="3"/>
  <c r="R226" i="3"/>
  <c r="R225" i="3"/>
  <c r="R224" i="3"/>
  <c r="R223" i="3"/>
  <c r="R222" i="3"/>
  <c r="R221" i="3"/>
  <c r="R220" i="3"/>
  <c r="R219" i="3"/>
  <c r="R218" i="3"/>
  <c r="R217" i="3"/>
  <c r="R216" i="3"/>
  <c r="R215" i="3"/>
  <c r="R214" i="3"/>
  <c r="R213" i="3"/>
  <c r="R212" i="3"/>
  <c r="R211" i="3"/>
  <c r="R210" i="3"/>
  <c r="R209" i="3"/>
  <c r="R208" i="3"/>
  <c r="R207" i="3"/>
  <c r="R206" i="3"/>
  <c r="R205" i="3"/>
  <c r="R204" i="3"/>
  <c r="R203" i="3"/>
  <c r="R202" i="3"/>
  <c r="R201" i="3"/>
  <c r="R200" i="3"/>
  <c r="R199" i="3"/>
  <c r="R198" i="3"/>
  <c r="R197" i="3"/>
  <c r="R196" i="3"/>
  <c r="R195" i="3"/>
  <c r="R194" i="3"/>
  <c r="R193" i="3"/>
  <c r="R192" i="3"/>
  <c r="R191" i="3"/>
  <c r="R190" i="3"/>
  <c r="R189" i="3"/>
  <c r="R188" i="3"/>
  <c r="R187" i="3"/>
  <c r="R186" i="3"/>
  <c r="R185" i="3"/>
  <c r="R184" i="3"/>
  <c r="R183" i="3"/>
  <c r="R182" i="3"/>
  <c r="R181" i="3"/>
  <c r="R180" i="3"/>
  <c r="R179" i="3"/>
  <c r="R178" i="3"/>
  <c r="R177" i="3"/>
  <c r="R176" i="3"/>
  <c r="R175" i="3"/>
  <c r="R174" i="3"/>
  <c r="R173" i="3"/>
  <c r="R172" i="3"/>
  <c r="R171" i="3"/>
  <c r="R170" i="3"/>
  <c r="R169" i="3"/>
  <c r="R168" i="3"/>
  <c r="R167" i="3"/>
  <c r="R166" i="3"/>
  <c r="R165" i="3"/>
  <c r="R164" i="3"/>
  <c r="R163" i="3"/>
  <c r="R162" i="3"/>
  <c r="R161" i="3"/>
  <c r="R160" i="3"/>
  <c r="R159" i="3"/>
  <c r="R158" i="3"/>
  <c r="R157" i="3"/>
  <c r="R156" i="3"/>
  <c r="R155" i="3"/>
  <c r="R154" i="3"/>
  <c r="R153" i="3"/>
  <c r="R152" i="3"/>
  <c r="R151" i="3"/>
  <c r="R150" i="3"/>
  <c r="R149" i="3"/>
  <c r="R148" i="3"/>
  <c r="R147" i="3"/>
  <c r="R146" i="3"/>
  <c r="R145" i="3"/>
  <c r="R144" i="3"/>
  <c r="R143" i="3"/>
  <c r="R142" i="3"/>
  <c r="R141" i="3"/>
  <c r="R140" i="3"/>
  <c r="R139" i="3"/>
  <c r="R138" i="3"/>
  <c r="R137" i="3"/>
  <c r="R136" i="3"/>
  <c r="R135" i="3"/>
  <c r="R134" i="3"/>
  <c r="R133" i="3"/>
  <c r="R132" i="3"/>
  <c r="R131" i="3"/>
  <c r="R130" i="3"/>
  <c r="R129" i="3"/>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R95" i="3"/>
  <c r="R94" i="3"/>
  <c r="R93" i="3"/>
  <c r="R92" i="3"/>
  <c r="R91" i="3"/>
  <c r="R90" i="3"/>
  <c r="R89" i="3"/>
  <c r="R88" i="3"/>
  <c r="R87" i="3"/>
  <c r="R86" i="3"/>
  <c r="R85" i="3"/>
  <c r="R84" i="3"/>
  <c r="R83" i="3"/>
  <c r="R82" i="3"/>
  <c r="R81" i="3"/>
  <c r="R80" i="3"/>
  <c r="R79" i="3"/>
  <c r="R78" i="3"/>
  <c r="R77" i="3"/>
  <c r="R76"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R6" i="3"/>
  <c r="R5" i="3"/>
  <c r="R4" i="3"/>
  <c r="T3" i="3"/>
  <c r="R3" i="3"/>
  <c r="R2" i="3"/>
  <c r="M1388" i="4"/>
  <c r="T3" i="9"/>
  <c r="J3" i="9" l="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India_EV_Market_Analysis (Recovered)1 (version 2).xlsb!Table11" type="102" refreshedVersion="5" minRefreshableVersion="5">
    <extLst>
      <ext xmlns:x15="http://schemas.microsoft.com/office/spreadsheetml/2010/11/main" uri="{DE250136-89BD-433C-8126-D09CA5730AF9}">
        <x15:connection id="Table11-e57170f4-d283-4086-a6bf-082330c89c93">
          <x15:rangePr sourceName="_xlcn.WorksheetConnection_India_EV_Market_AnalysisRecovered1version2.xlsbTable11"/>
        </x15:connection>
      </ext>
    </extLst>
  </connection>
  <connection id="3" name="WorksheetConnection_India_EV_Market_Analysis (Recovered)1 (version 2).xlsb!Table13" type="102" refreshedVersion="5" minRefreshableVersion="5">
    <extLst>
      <ext xmlns:x15="http://schemas.microsoft.com/office/spreadsheetml/2010/11/main" uri="{DE250136-89BD-433C-8126-D09CA5730AF9}">
        <x15:connection id="Table13-4cdcdad5-ef80-41dd-8494-86d6fce1aa3f">
          <x15:rangePr sourceName="_xlcn.WorksheetConnection_India_EV_Market_AnalysisRecovered1version2.xlsbTable13"/>
        </x15:connection>
      </ext>
    </extLst>
  </connection>
</connections>
</file>

<file path=xl/sharedStrings.xml><?xml version="1.0" encoding="utf-8"?>
<sst xmlns="http://schemas.openxmlformats.org/spreadsheetml/2006/main" count="4349" uniqueCount="1389">
  <si>
    <t>EV Maker</t>
  </si>
  <si>
    <t>Place</t>
  </si>
  <si>
    <t>State</t>
  </si>
  <si>
    <t>Tata Motors</t>
  </si>
  <si>
    <t>Pune</t>
  </si>
  <si>
    <t>Maharashtra</t>
  </si>
  <si>
    <t>Mahindra Electric</t>
  </si>
  <si>
    <t>Bengaluru</t>
  </si>
  <si>
    <t>Karnataka</t>
  </si>
  <si>
    <t>Ather Energy</t>
  </si>
  <si>
    <t>Hero Electric</t>
  </si>
  <si>
    <t>New Delhi</t>
  </si>
  <si>
    <t>Delhi</t>
  </si>
  <si>
    <t>Ola Electric</t>
  </si>
  <si>
    <t>Krishnagiri</t>
  </si>
  <si>
    <t>Tamil Nadu</t>
  </si>
  <si>
    <t>Ashok Leyland</t>
  </si>
  <si>
    <t>Chennai</t>
  </si>
  <si>
    <t>TVS Motor Company</t>
  </si>
  <si>
    <t>Hosur</t>
  </si>
  <si>
    <t>Bajaj Auto</t>
  </si>
  <si>
    <t>MG Motor India</t>
  </si>
  <si>
    <t>Halol</t>
  </si>
  <si>
    <t>Gujarat</t>
  </si>
  <si>
    <t>Hyundai Motor India</t>
  </si>
  <si>
    <t>Revolt Motors</t>
  </si>
  <si>
    <t>Gurgaon</t>
  </si>
  <si>
    <t>Haryana</t>
  </si>
  <si>
    <t>Ampere Vehicles</t>
  </si>
  <si>
    <t>Coimbatore</t>
  </si>
  <si>
    <t>Okinawa Autotech</t>
  </si>
  <si>
    <t>Bhiwadi</t>
  </si>
  <si>
    <t>Rajasthan</t>
  </si>
  <si>
    <t>Kinetic Green Energy</t>
  </si>
  <si>
    <t>BYD India</t>
  </si>
  <si>
    <t>Sriperumbudur</t>
  </si>
  <si>
    <t>JBM Auto</t>
  </si>
  <si>
    <t>Faridabad</t>
  </si>
  <si>
    <t>Piaggio Vehicles</t>
  </si>
  <si>
    <t>Baramati</t>
  </si>
  <si>
    <t>Hero MotoCorp</t>
  </si>
  <si>
    <t>Dharuhera</t>
  </si>
  <si>
    <t>Etrio Automobiles</t>
  </si>
  <si>
    <t>Hyderabad</t>
  </si>
  <si>
    <t>Telangana</t>
  </si>
  <si>
    <t>Triton Electric</t>
  </si>
  <si>
    <t>Bhuj</t>
  </si>
  <si>
    <t>Simple Energy</t>
  </si>
  <si>
    <t>Minda Industries</t>
  </si>
  <si>
    <t>Exide Industries</t>
  </si>
  <si>
    <t>Kolkata</t>
  </si>
  <si>
    <t>West Bengal</t>
  </si>
  <si>
    <t>Greaves Cotton</t>
  </si>
  <si>
    <t>Mumbai</t>
  </si>
  <si>
    <t>Maruti Suzuki India</t>
  </si>
  <si>
    <t>Manesar</t>
  </si>
  <si>
    <t>Renault India</t>
  </si>
  <si>
    <t>Citroën India</t>
  </si>
  <si>
    <t>Thiruvallur</t>
  </si>
  <si>
    <t>Audi India</t>
  </si>
  <si>
    <t>Aurangabad</t>
  </si>
  <si>
    <t>Mercedes-Benz India</t>
  </si>
  <si>
    <t>Chakan</t>
  </si>
  <si>
    <t>Kia Motors India</t>
  </si>
  <si>
    <t>Anantapur</t>
  </si>
  <si>
    <t>Andhra Pradesh</t>
  </si>
  <si>
    <t>Volvo Eicher</t>
  </si>
  <si>
    <t>Pithampur</t>
  </si>
  <si>
    <t>Madhya Pradesh</t>
  </si>
  <si>
    <t>JSW Energy</t>
  </si>
  <si>
    <t>Olectra Greentech</t>
  </si>
  <si>
    <t>Force Motors</t>
  </si>
  <si>
    <t>TVS Electronics</t>
  </si>
  <si>
    <t>Royal Enfield</t>
  </si>
  <si>
    <t>Bharat Forge</t>
  </si>
  <si>
    <t>Hindustan Motors</t>
  </si>
  <si>
    <t>Uttarpara</t>
  </si>
  <si>
    <t>Atul Auto</t>
  </si>
  <si>
    <t>Rajkot</t>
  </si>
  <si>
    <t>SML Isuzu</t>
  </si>
  <si>
    <t>Ropar</t>
  </si>
  <si>
    <t>Punjab</t>
  </si>
  <si>
    <t>Mahindra Reva</t>
  </si>
  <si>
    <t>Ajanta Manufacturing</t>
  </si>
  <si>
    <t>Morbi</t>
  </si>
  <si>
    <t>Tata Power</t>
  </si>
  <si>
    <t>Ashok Leyland (EV Bus)</t>
  </si>
  <si>
    <t>Alwar</t>
  </si>
  <si>
    <t>HOP Electric Mobility</t>
  </si>
  <si>
    <t>Jaipur</t>
  </si>
  <si>
    <t>Omega Seiki Mobility</t>
  </si>
  <si>
    <t>Bajaj Auto (EV)</t>
  </si>
  <si>
    <t>Akurdi</t>
  </si>
  <si>
    <t>Tata AutoComp Systems</t>
  </si>
  <si>
    <t>Bosch India</t>
  </si>
  <si>
    <t>Lohia Auto Industries</t>
  </si>
  <si>
    <t>Kashipur</t>
  </si>
  <si>
    <t>Uttarakhand</t>
  </si>
  <si>
    <t>Saera Electric Auto</t>
  </si>
  <si>
    <t>Jezza Motors</t>
  </si>
  <si>
    <t>Altigreen Propulsion Labs</t>
  </si>
  <si>
    <t>Terra Motors India</t>
  </si>
  <si>
    <t>Gurugram</t>
  </si>
  <si>
    <t>Gayam Motor Works</t>
  </si>
  <si>
    <t>Kinetic Green (3-Wheeler)</t>
  </si>
  <si>
    <t>Ahmednagar</t>
  </si>
  <si>
    <t>Greaves Electric Mobility</t>
  </si>
  <si>
    <t>YC Electric Vehicle</t>
  </si>
  <si>
    <t>Dilli Electric Auto Pvt Ltd</t>
  </si>
  <si>
    <t>Electrotherm India</t>
  </si>
  <si>
    <t>Ahmedabad</t>
  </si>
  <si>
    <t>Euler Motors</t>
  </si>
  <si>
    <t>Date</t>
  </si>
  <si>
    <t>FOUR WHEELER (INVALID CARRIAGE)</t>
  </si>
  <si>
    <t>HEAVY GOODS VEHICLE</t>
  </si>
  <si>
    <t>HEAVY MOTOR VEHICLE</t>
  </si>
  <si>
    <t>HEAVY PASSENGER VEHICLE</t>
  </si>
  <si>
    <t>LIGHT GOODS VEHICLE</t>
  </si>
  <si>
    <t>LIGHT MOTOR VEHICLE</t>
  </si>
  <si>
    <t>LIGHT PASSENGER VEHICLE</t>
  </si>
  <si>
    <t>MEDIUM GOODS VEHICLE</t>
  </si>
  <si>
    <t>MEDIUM PASSENGER VEHICLE</t>
  </si>
  <si>
    <t>MEDIUM MOTOR VEHICLE</t>
  </si>
  <si>
    <t>OTHER THAN MENTIONED ABOVE</t>
  </si>
  <si>
    <t>THREE WHEELER(NT)</t>
  </si>
  <si>
    <t>TWO WHEELER (INVALID CARRIAGE)</t>
  </si>
  <si>
    <t>THREE WHEELER(T)</t>
  </si>
  <si>
    <t>TWO WHEELER(NT)</t>
  </si>
  <si>
    <t>TWO WHEELER(T)</t>
  </si>
  <si>
    <t>Cat</t>
  </si>
  <si>
    <t>Maker</t>
  </si>
  <si>
    <t>3W</t>
  </si>
  <si>
    <t>3EV INDUSTRIES PVT LTD</t>
  </si>
  <si>
    <t>2W</t>
  </si>
  <si>
    <t>3GB TECHNOLOGY PVT LTD</t>
  </si>
  <si>
    <t>3S INDUSTRIES PRIVATE LIMITED</t>
  </si>
  <si>
    <t>LMV</t>
  </si>
  <si>
    <t>A B EXCAVATORS &amp; EARTHMOVER LTD</t>
  </si>
  <si>
    <t>A D AGRO WORKS</t>
  </si>
  <si>
    <t>A K AUTTO ELECTRICAL</t>
  </si>
  <si>
    <t>A K GUPTA &amp; CO.</t>
  </si>
  <si>
    <t>A P I MOTORS PVT LTD</t>
  </si>
  <si>
    <t>A R T WELDING WORKS</t>
  </si>
  <si>
    <t>A. K. AUTTO ELECTRICAL</t>
  </si>
  <si>
    <t>A.J ENTERPRISES</t>
  </si>
  <si>
    <t>A.K.AUTO ELECTRICAL</t>
  </si>
  <si>
    <t>A.R. MOTOR</t>
  </si>
  <si>
    <t>A.V.AUTOMOTIVES PVT LTD</t>
  </si>
  <si>
    <t>A-1 SUREJA INDUSTRIES</t>
  </si>
  <si>
    <t>A3T INCORPORTED</t>
  </si>
  <si>
    <t>AADHYA ENTERPRISES</t>
  </si>
  <si>
    <t>AADITYA EMOTORS INDIA PVT LTD</t>
  </si>
  <si>
    <t>AADITYA GARBAGE PRODUCTS PVT LTD</t>
  </si>
  <si>
    <t>AAHANA COMMERCE PVT LTD</t>
  </si>
  <si>
    <t>AAKK AUTO PVT LTD</t>
  </si>
  <si>
    <t>AARGEE ELECTRIC</t>
  </si>
  <si>
    <t>AASHI INDIA AUTOMOBILES PVT LTD</t>
  </si>
  <si>
    <t>ABHAVIS TECHNOLOGY (I) PVT LTD</t>
  </si>
  <si>
    <t>ABIRAMI ENGINEERING WORKS</t>
  </si>
  <si>
    <t>ABZO MOTORS PVT LTD</t>
  </si>
  <si>
    <t>ACCRETION POWER AUTOS</t>
  </si>
  <si>
    <t>ACTION CONSTRUCTION EQUIPMENT LTD.</t>
  </si>
  <si>
    <t>ADAPT MOTORS PVT LTD</t>
  </si>
  <si>
    <t>ADIDEV TECHNOA PVT LTD</t>
  </si>
  <si>
    <t>ADITYA AGRO INDUSTRIES</t>
  </si>
  <si>
    <t>ADITYA ENTERPRISES</t>
  </si>
  <si>
    <t>ADITYA SAI INDUSTRIES</t>
  </si>
  <si>
    <t>ADM TECHNOLOGIES PVT. LTD.</t>
  </si>
  <si>
    <t>ADRIS ELECTRIC PVT LTD</t>
  </si>
  <si>
    <t>AFTEK MOTORS INDIA PVT LTD</t>
  </si>
  <si>
    <t>AGRASEN ENGINEERING WORKS</t>
  </si>
  <si>
    <t>AGRAWAL RENEWABLE ENERGY PVT LTD</t>
  </si>
  <si>
    <t>AGRO INDUSTRIES</t>
  </si>
  <si>
    <t>AHITESHAM AGRO ENGINEERING</t>
  </si>
  <si>
    <t>AJAY ENGINEERING AND AGRICULTURAL EQUIPMENT CO.</t>
  </si>
  <si>
    <t>AJAY MOTORS PRIVATE LIMITED</t>
  </si>
  <si>
    <t>AKASH AGRO INDUSTRIES</t>
  </si>
  <si>
    <t>AKASH TRAILOR</t>
  </si>
  <si>
    <t>AKG INTERNATIONAL</t>
  </si>
  <si>
    <t>AKSMD RECHARGEABLE VEHICLES PVT LTD</t>
  </si>
  <si>
    <t>ALBEDO VISION PVT LTD</t>
  </si>
  <si>
    <t>MMV</t>
  </si>
  <si>
    <t>ALL TERRAIN CRANE</t>
  </si>
  <si>
    <t>ALLENTTI MOTORS PVT LTD</t>
  </si>
  <si>
    <t>ALLFINE INDUSTRIES PVT LTD</t>
  </si>
  <si>
    <t>ALTIER ELECTRIC VEHICLES PVT LTD</t>
  </si>
  <si>
    <t>ALTIGREEN PROPULSION LABS PVT LTD</t>
  </si>
  <si>
    <t>ALTIUS EV TECH PVT LTD</t>
  </si>
  <si>
    <t>ALTIUS TECHNOLOGIES</t>
  </si>
  <si>
    <t>AL-ZAHOOR  CO</t>
  </si>
  <si>
    <t>AMAN AUTOMOBILES</t>
  </si>
  <si>
    <t>AMAN ELECTRIC VEHICLES</t>
  </si>
  <si>
    <t>AMAR COACH BUILDERS</t>
  </si>
  <si>
    <t>AMBIKA ENTERPRISES</t>
  </si>
  <si>
    <t>AMBIKA INDUSTRIES</t>
  </si>
  <si>
    <t>AMMAN ENGINEERING COMPANY</t>
  </si>
  <si>
    <t>AMO MOBILITY SOLUTIONS PVT LTD</t>
  </si>
  <si>
    <t>AMPERE VEHICLES PRIVATE LIMITED</t>
  </si>
  <si>
    <t>AMPERE VEHICLES PVT LTD</t>
  </si>
  <si>
    <t>AMW MOTORS LIMITED</t>
  </si>
  <si>
    <t>ANBU TRAILERS</t>
  </si>
  <si>
    <t>ANCHI MOTORCYCLE  (IMPORTER: ECOTRINITY AUTOMOBILE</t>
  </si>
  <si>
    <t>ANCHI MOTORCYCLE (IMPORTER: EVNEXUS PVT. LTD.)</t>
  </si>
  <si>
    <t>ANCHI MOTORCYCLE (IMPORTER: YED ELECTRIC)</t>
  </si>
  <si>
    <t>ANCHI MOTORCYCLE (IMPORTER:HINDUSTAN EV MOTORS)</t>
  </si>
  <si>
    <t>ANCHI MOTORCYCLE(IMPORTER:GREEN FUEL ALTERNATIVES)</t>
  </si>
  <si>
    <t>ANJALI AUTO COMPONENTS</t>
  </si>
  <si>
    <t>ANJALI ENTERPRISES</t>
  </si>
  <si>
    <t>ANJALI TRADERS</t>
  </si>
  <si>
    <t>ANKUSH AUTO DEALS</t>
  </si>
  <si>
    <t>ANOOP CYLINDERS PVT LTD</t>
  </si>
  <si>
    <t>ANTONY TRAILORS</t>
  </si>
  <si>
    <t>APARNA AGRICO</t>
  </si>
  <si>
    <t>APARNA INDUSTRIES</t>
  </si>
  <si>
    <t>API MOTORS PVT LTD</t>
  </si>
  <si>
    <t>APM AUTO SALES</t>
  </si>
  <si>
    <t>APSARA ENTERPRISE</t>
  </si>
  <si>
    <t>ARASAN AND CO.</t>
  </si>
  <si>
    <t>ARBUDA TRAILER</t>
  </si>
  <si>
    <t>ARCHIT ENTERPRISES</t>
  </si>
  <si>
    <t>ARD EXIM</t>
  </si>
  <si>
    <t>ARIHANT ENTERPRISE</t>
  </si>
  <si>
    <t>ARIHANT ENTERPRISES</t>
  </si>
  <si>
    <t>ARMAN GREEN VEHICLES PVT LTD</t>
  </si>
  <si>
    <t>ARNA ELECTRIC AUTO PVT LTD</t>
  </si>
  <si>
    <t>ARROW AUTOMOTIVE</t>
  </si>
  <si>
    <t>ASAV AUTOMOTIVE PVT LTD</t>
  </si>
  <si>
    <t>ASHA IMPEX</t>
  </si>
  <si>
    <t>ASHLESHA POWER CONTROLS PVT LTD</t>
  </si>
  <si>
    <t>ASHMA-MOTORS PVT LTD</t>
  </si>
  <si>
    <t>ASHOK LEYLAND LTD</t>
  </si>
  <si>
    <t>ASHWA ELECTRIC</t>
  </si>
  <si>
    <t>ASIA BODY BUILDERS &amp; MANUFACTURERS</t>
  </si>
  <si>
    <t>ASTER AUTOMOTIVE PVT LTD</t>
  </si>
  <si>
    <t>ATHER ENERGY PVT LTD</t>
  </si>
  <si>
    <t>ATLAS COPCO INDIA LTD</t>
  </si>
  <si>
    <t>ATOMEX E-MOTORS INDIA PVT LTD</t>
  </si>
  <si>
    <t>ATR TECHNOSALES PRIVATE LIMITED</t>
  </si>
  <si>
    <t>ATTOLENT AUTO GROUP PVT LTD</t>
  </si>
  <si>
    <t>ATTOLENT AUTOGROUP PVT LTD</t>
  </si>
  <si>
    <t>ATUL AUTO LTD</t>
  </si>
  <si>
    <t>ATUL GREENTECH PRIVATE LIMITED</t>
  </si>
  <si>
    <t>ATUMOBILE PVT LTD</t>
  </si>
  <si>
    <t>ATUT SANGAM</t>
  </si>
  <si>
    <t>AUDI AG</t>
  </si>
  <si>
    <t>AUTOCROLA INDIA LTD</t>
  </si>
  <si>
    <t>AUTOECO GREEN ENERGY PVT LTD</t>
  </si>
  <si>
    <t>AUTOHAUS PRIVATE LIMITED</t>
  </si>
  <si>
    <t>AUTOLITE (INDIA) LIMITED</t>
  </si>
  <si>
    <t>AVL ELECTRIC VEHICLES PVT LTD</t>
  </si>
  <si>
    <t>AVON CYCLE LTD INDIA</t>
  </si>
  <si>
    <t>AVON CYCLES LTD</t>
  </si>
  <si>
    <t>AXCEED INDUSTRIES (OPC) PVT LTD</t>
  </si>
  <si>
    <t>AYAAN ELECTRONIC PVT LTD</t>
  </si>
  <si>
    <t>B24 ROKET EV</t>
  </si>
  <si>
    <t>BABA E RICKSHAW &amp; C BATTERIES</t>
  </si>
  <si>
    <t>BABA E-VEHICLES</t>
  </si>
  <si>
    <t>BAFNA AUTO CARS I PVT.LTD.</t>
  </si>
  <si>
    <t>BAGHWAN RIKSHAW UDYOG</t>
  </si>
  <si>
    <t>BAILI MOTOR (IMPORTER:A B MOTOSS EV PVT LTD)</t>
  </si>
  <si>
    <t>BAJAJ AUTO LTD</t>
  </si>
  <si>
    <t>BAJAJ IMPLEMENTS PVT LTD</t>
  </si>
  <si>
    <t>BAJAJ IMPLEMENTS PVT. LTD</t>
  </si>
  <si>
    <t>BAJAJ TEMPO LIMITED</t>
  </si>
  <si>
    <t>BAL GOPAL WHEELS PVT LTD</t>
  </si>
  <si>
    <t>BALAJI TRADING COMPANY</t>
  </si>
  <si>
    <t>BALAMURUGAN ENGINEERING WORKS</t>
  </si>
  <si>
    <t>BALAN ENGINEERING PVT LTD</t>
  </si>
  <si>
    <t>BALI AUTO INDUSTRIES</t>
  </si>
  <si>
    <t>BASUDEB ENGINEERING, CUTTACK</t>
  </si>
  <si>
    <t>BATTERY RICKSHAW SANGH</t>
  </si>
  <si>
    <t>BATTRE ELECTRIC MOBLITY PVT LTD</t>
  </si>
  <si>
    <t>BAXY LTD</t>
  </si>
  <si>
    <t>BENGAL MOTORS</t>
  </si>
  <si>
    <t>BENLING INDIA ENERGY AND TECHNOLOGY PVT LTD</t>
  </si>
  <si>
    <t>BENTINCK INDUSTRIES PVT. LTD.</t>
  </si>
  <si>
    <t>BENTLEY MOTORS LIMITED</t>
  </si>
  <si>
    <t>BEST WAY AGENCIES PVT LTD</t>
  </si>
  <si>
    <t>BESTWAY AGENCIES PVT LTD</t>
  </si>
  <si>
    <t>BESTWAY BANARASH</t>
  </si>
  <si>
    <t>BGAUSS AUTO PRIVATE LIMITED</t>
  </si>
  <si>
    <t>BHADAURIA ENTERPRISES</t>
  </si>
  <si>
    <t>BHARAT MANUFACTURING &amp; ASSEMBLING E RIKSHA</t>
  </si>
  <si>
    <t>BHAVE ELECTRIC VEHICLES PVT LTD</t>
  </si>
  <si>
    <t>BHM INDUSTRIES</t>
  </si>
  <si>
    <t>BIG BULL TRADER PVT LTD</t>
  </si>
  <si>
    <t>BIJNOR ENTERPRISES</t>
  </si>
  <si>
    <t>BILAL TRAILORS</t>
  </si>
  <si>
    <t>BLIX CYCLES AND E-VEHICLES PVT LTD</t>
  </si>
  <si>
    <t>BMW INDIA PVT LTD</t>
  </si>
  <si>
    <t>BOOMA INNOVATIVE TRANSPORT SULUTIONS PVT LTD</t>
  </si>
  <si>
    <t>BOUNCE ELECTRIC 1 PVT LTD</t>
  </si>
  <si>
    <t>BRIGHT AUTOZONE PVT LTD</t>
  </si>
  <si>
    <t>BRIGHT METAL WORKS</t>
  </si>
  <si>
    <t>BSA MOTORS</t>
  </si>
  <si>
    <t>BSERAIL ENGINEERING PVT LTD</t>
  </si>
  <si>
    <t>BULL MACHINES PVT LTD</t>
  </si>
  <si>
    <t>BYD AUTO</t>
  </si>
  <si>
    <t>BYD INDIA PRIVATE LIMITED</t>
  </si>
  <si>
    <t>C M OVERSEAS</t>
  </si>
  <si>
    <t>CAPARO AUTOTECH LIMITED</t>
  </si>
  <si>
    <t>CAPARO AUTOTECH LTD</t>
  </si>
  <si>
    <t>CAPCO INDUSTRIES PVT LTD</t>
  </si>
  <si>
    <t>CARREE YUNUS VEHICLE PVT LTD</t>
  </si>
  <si>
    <t>CART INDIA</t>
  </si>
  <si>
    <t>CASE EQUIPMENT PRIVATE LTD</t>
  </si>
  <si>
    <t>CATERPILLAR INDIA PRIVATE LIMITED</t>
  </si>
  <si>
    <t>CEEON INDIA</t>
  </si>
  <si>
    <t>CELLETRON MOTOR WORKS</t>
  </si>
  <si>
    <t>CENTURY MOTORS PVT LTD</t>
  </si>
  <si>
    <t>CHAMPION POLY PLAST</t>
  </si>
  <si>
    <t>CHANDAKE-AUTOMOBILES LLP</t>
  </si>
  <si>
    <t>CHANDANA CORPORATION</t>
  </si>
  <si>
    <t>CHANGZHOU YEFEND VEHICLE CO</t>
  </si>
  <si>
    <t>CHARUVIKRAM AUTOMOBILE PVT LTD</t>
  </si>
  <si>
    <t>CHATELEC VEHICLES INDIA LTD</t>
  </si>
  <si>
    <t>CHAUHAN AUTO INDUSTRIES</t>
  </si>
  <si>
    <t>CHEHAK BATTERIES</t>
  </si>
  <si>
    <t>CHETAK TECHNOLOGY LIMITED</t>
  </si>
  <si>
    <t>CHEVROLET SALES INDIA PVT LTD</t>
  </si>
  <si>
    <t>CHINA HAOCHEN (IMPORTER: ADMS MARKETING)</t>
  </si>
  <si>
    <t>CHINA HAOCHEN (IMPORTER:SLSR ELECTRO)</t>
  </si>
  <si>
    <t>CHIRAG ENTERPRISES</t>
  </si>
  <si>
    <t>CHONGQING CHARMING (IMPORTER: AYAAN ELECTRONICS).</t>
  </si>
  <si>
    <t>CHONGQING YU AN GROUP</t>
  </si>
  <si>
    <t>CITADEL ENTERPRISES(OPC) PVT LTD</t>
  </si>
  <si>
    <t>CITYGREEN AUTO &amp; PETRO CHEMICALS (P) LTD</t>
  </si>
  <si>
    <t>CLAAS INDIA P LTD</t>
  </si>
  <si>
    <t>CLENERGY INNOVATIONS PVT LTD</t>
  </si>
  <si>
    <t>CLH GASEOUS FUEL APPL PVT LTD</t>
  </si>
  <si>
    <t>CNH INDUSTRIAL (INDIA) PVT LTD</t>
  </si>
  <si>
    <t>CONTINENTAL ENGINES PVT LTD</t>
  </si>
  <si>
    <t>CREATIVE ENGINEERINGS</t>
  </si>
  <si>
    <t>CYRUS AUTO INDUSTRIES PVT LTD</t>
  </si>
  <si>
    <t>D S INDUSTRIES</t>
  </si>
  <si>
    <t>D S R AUTOMOTIVES (INDIA) PVT LTD</t>
  </si>
  <si>
    <t>D.K. MOTORS</t>
  </si>
  <si>
    <t>DAEWOO MOTORS INDIA LTD</t>
  </si>
  <si>
    <t>DAIMLER AG</t>
  </si>
  <si>
    <t>DAIMLER INDIA COMMERCIAL VEHICLES PVT. LTD</t>
  </si>
  <si>
    <t>DAKSH INDUSTRIES</t>
  </si>
  <si>
    <t>DALIAN FORKLIFT CO.</t>
  </si>
  <si>
    <t>DAO EVTECH PRIVATE LIMITED</t>
  </si>
  <si>
    <t>DASHMESH MECH WORKS PVT LTD</t>
  </si>
  <si>
    <t>DASHMESH TRADERS</t>
  </si>
  <si>
    <t>DAVE EXIM PVT LTD</t>
  </si>
  <si>
    <t>DD AUTO PVT LTD</t>
  </si>
  <si>
    <t>DE EUSI MOTORS PVT LTD.</t>
  </si>
  <si>
    <t>DEEP DRAWN TECHNOLOGIES</t>
  </si>
  <si>
    <t>DEEPTI SMART MOBILITY PVT LTD</t>
  </si>
  <si>
    <t>DELHI AUTOMOBILES LTD</t>
  </si>
  <si>
    <t>DELTA AUTOCORP LLP</t>
  </si>
  <si>
    <t>DELTEK ENTERPRISES PVT LTD</t>
  </si>
  <si>
    <t>DESMOTO ELECTRICS PVT LTD</t>
  </si>
  <si>
    <t>DEV MOTORS</t>
  </si>
  <si>
    <t>DEVAM ELECTRIC VEH P L</t>
  </si>
  <si>
    <t>DEVAM ELECTRIC VEHICLES PVT LTD</t>
  </si>
  <si>
    <t>DHAR IN PVT LTD</t>
  </si>
  <si>
    <t>DHAR INTERNATIONAL</t>
  </si>
  <si>
    <t>DHARMAND TRAILERS</t>
  </si>
  <si>
    <t>DHRITI ENTERPRISES</t>
  </si>
  <si>
    <t>DIAMOND E VEHICLES</t>
  </si>
  <si>
    <t>DIAMOND ENGG,CTC</t>
  </si>
  <si>
    <t>DILIGENT MOBILITY SERVICE PVT LTD</t>
  </si>
  <si>
    <t>DILIP CHHABRIA DESIGN PVT LTD</t>
  </si>
  <si>
    <t>DILLI ELECTRIC AUTO PVT LTD</t>
  </si>
  <si>
    <t>DIVANSHU AUTOMOBILES LIMITED</t>
  </si>
  <si>
    <t>DIVANSU AUTOMOBILES LTD</t>
  </si>
  <si>
    <t>DIVYA AUTOMOBILES</t>
  </si>
  <si>
    <t>DIVYA ENTERPRISES</t>
  </si>
  <si>
    <t>DIVYA INDUSTRIES</t>
  </si>
  <si>
    <t>DIWA GREEN TECHNOLOGY PVT LTD</t>
  </si>
  <si>
    <t>DONGMA VEHICLE (IMPORTER: MERCURY METALS)</t>
  </si>
  <si>
    <t>DSF INDUSTRIES PVT LTD</t>
  </si>
  <si>
    <t>DSK MOTOWHEELS PVT LTD.</t>
  </si>
  <si>
    <t>DSR EV MOBILITY PVT LTD</t>
  </si>
  <si>
    <t>DUCATI INDIA PVT LTD</t>
  </si>
  <si>
    <t>DUCATI MOTOR HOLDING S.P.A</t>
  </si>
  <si>
    <t>DUKE AUTO INDIA</t>
  </si>
  <si>
    <t>DUKEMOTO MOTORS PVT LTD</t>
  </si>
  <si>
    <t>DURABLE FLANGES PVT LTD</t>
  </si>
  <si>
    <t>DURGA FILTERS PVT LTD</t>
  </si>
  <si>
    <t>DYNAVOLT TECHNOLOGY INDIA LTD</t>
  </si>
  <si>
    <t>DYS IMPEX PRIVATE LIMITED</t>
  </si>
  <si>
    <t>DYS IMPEX PVT LTD</t>
  </si>
  <si>
    <t>E ROYCE MOTORS INDIA PVT LTD</t>
  </si>
  <si>
    <t>EAGLE AUTO PEARL PVT</t>
  </si>
  <si>
    <t>E-ASHWA AUTOMOTIVE (HS 2W) PVT LTD</t>
  </si>
  <si>
    <t>E-ASHWA AUTOMOTIVE PVT LTD</t>
  </si>
  <si>
    <t>EBUZZ MOBILITY LLP</t>
  </si>
  <si>
    <t>ECO DYNAAMIC EQUIPMENTS</t>
  </si>
  <si>
    <t>ECO FUEL SYSTEMS (I) PVT LTD</t>
  </si>
  <si>
    <t>ECO SMART VEHICLES PVT LTD</t>
  </si>
  <si>
    <t>ECOBIT INTERNATIONAL(IMPORTER: JHEV MOTORS)</t>
  </si>
  <si>
    <t>ECO-FRIENDLY ELECTRIC VEHICLE PVT LTD</t>
  </si>
  <si>
    <t>ECOYAN ELECTRIC MOTOR VEHICLES PVT LTD</t>
  </si>
  <si>
    <t>ECOYAN ELECTRIC MOTORS VEHICLE PVT LTD</t>
  </si>
  <si>
    <t>EDDY CURRENT CONTROLS (I) LTD</t>
  </si>
  <si>
    <t>EDMRC MANNSCHAFT LLP</t>
  </si>
  <si>
    <t>EEVEE ENGINEERING PVT LTD</t>
  </si>
  <si>
    <t>EFEV CHARGING SOLUTION PVT LTD</t>
  </si>
  <si>
    <t>E-GURU AUTO ENERGY</t>
  </si>
  <si>
    <t>EICHER MOTORS LTD</t>
  </si>
  <si>
    <t>EICHER POLARIS PVT. LTD.</t>
  </si>
  <si>
    <t>EICHER TRACTORS</t>
  </si>
  <si>
    <t>EKO VEHICLE PRIVATE LIMITED</t>
  </si>
  <si>
    <t>ELECTRA INTERNATIONAL</t>
  </si>
  <si>
    <t>ELECTRECA VEHICLES</t>
  </si>
  <si>
    <t>ELECTRIC ALLIANCE(IMPORTER: ELLYSIUM AUTOMOTIVES)</t>
  </si>
  <si>
    <t>ELECTROTECH TRANSMISSION PVT LTD</t>
  </si>
  <si>
    <t>ELECTROTHERM (I) LIMITED</t>
  </si>
  <si>
    <t>ELECTROTHERM (INDIA) LIMITED</t>
  </si>
  <si>
    <t>ELEPHANTA INDUSTRIES PVT LTD</t>
  </si>
  <si>
    <t>ELGI EQUIPMENTS LTD           </t>
  </si>
  <si>
    <t>ELITE AUTO ENGINEERS PVT LTD</t>
  </si>
  <si>
    <t>ELTHOR ENERGY PRIVATE LIMITED</t>
  </si>
  <si>
    <t>EMOBI MANUFACTURY PRIVATE LIMITED</t>
  </si>
  <si>
    <t>E-MOTION AUTOMOTIVE INDUSTRY LLP</t>
  </si>
  <si>
    <t>ENERGY ELECTRIC VEHICLES</t>
  </si>
  <si>
    <t>ENGINIA VEHICLES PVT LTD</t>
  </si>
  <si>
    <t>ENGTIAN ELECTRIC BIKE PVT LTD</t>
  </si>
  <si>
    <t>ENIGMA AUTOMOBILES PVT LTD</t>
  </si>
  <si>
    <t>ENTICE IMPEX PVT LTD</t>
  </si>
  <si>
    <t>EPOWER VEHICLES PVT LTD</t>
  </si>
  <si>
    <t>ERISHA E MOBILITY PVT LTD</t>
  </si>
  <si>
    <t>ESCORT JCB LTD</t>
  </si>
  <si>
    <t>ESCORTS CONSTRUCTION EQUIPMENT LTD</t>
  </si>
  <si>
    <t>ESCORTS KUBOTA LIMITED (AGRI MACHINERY GROUP)</t>
  </si>
  <si>
    <t>E-SPRINTO GREEN ENERGY PVT LTD</t>
  </si>
  <si>
    <t>ESSEL ENERGY INFRA PVT LTD</t>
  </si>
  <si>
    <t>ETHIRAJ AUTO UDYOG PVT LTD    </t>
  </si>
  <si>
    <t>ETRIO AUTOMOBILES PVT LTD</t>
  </si>
  <si>
    <t>EULER MOTORS PVT LTD</t>
  </si>
  <si>
    <t>EVAGE AUTOMOTIVE PVT LTD</t>
  </si>
  <si>
    <t>EVBHARAT RANGE PRIVATE LIMITED</t>
  </si>
  <si>
    <t>EVCO AUTOMOBILES PVT LTD</t>
  </si>
  <si>
    <t>EVERVE MOTORS PVT LTD</t>
  </si>
  <si>
    <t>EVEX AUTO INDIA PVT LTD</t>
  </si>
  <si>
    <t>EVOLUTION AUTOTECH</t>
  </si>
  <si>
    <t>EVTRIC MOTORS PVT LTD</t>
  </si>
  <si>
    <t>EXERVAL PVT LTD</t>
  </si>
  <si>
    <t>EXIDE INDUSTRIES LTD</t>
  </si>
  <si>
    <t>EXPO MACHINERY LTD</t>
  </si>
  <si>
    <t>EXTRA FAST SOLUTIONS</t>
  </si>
  <si>
    <t>EXTRAMILE GAS TECH</t>
  </si>
  <si>
    <t>EXTREME MOTORS</t>
  </si>
  <si>
    <t>EYUG AUTOMOBILE PVT LTD</t>
  </si>
  <si>
    <t>FEDE INDUSTRIES PVT LTD</t>
  </si>
  <si>
    <t>FIADO INDUSTRIES PVT LTD</t>
  </si>
  <si>
    <t>FIRST CHOICE ELECTRIC VEHICLES PVT LTD</t>
  </si>
  <si>
    <t>FITWEL MOBILITY PVT LTD</t>
  </si>
  <si>
    <t>FIVE ELEMENTS</t>
  </si>
  <si>
    <t>FORCE MOTORS LIMITED</t>
  </si>
  <si>
    <t>FORD INDIA PVT LTD</t>
  </si>
  <si>
    <t>FRN MOTORS PVT LTD</t>
  </si>
  <si>
    <t>FSTMOTO (IMPORTER: AUTOICARE INNOVATION)</t>
  </si>
  <si>
    <t>FSTMOTO INTERNATIONAL (IMPORTER: TEDI (INDIA))</t>
  </si>
  <si>
    <t>FUJIYAMA POWER INFRA PVT. LTD.</t>
  </si>
  <si>
    <t>G &amp; G AUTOMOTIVE</t>
  </si>
  <si>
    <t>G WILLIAMS FABRICATIONS LTD</t>
  </si>
  <si>
    <t>G. M. VEHICLE INDUSTRIES</t>
  </si>
  <si>
    <t>G.K E-VEHICLS INDUSTRIES PVT LTD</t>
  </si>
  <si>
    <t>G.K. RICKSHAW</t>
  </si>
  <si>
    <t>GAGAN AUTOMOTIVES</t>
  </si>
  <si>
    <t>GAIA INTERNATIONAL (IMPORTER: NEW ENERGY WAGON)</t>
  </si>
  <si>
    <t>GALVANIC AUTO PVT LTD</t>
  </si>
  <si>
    <t>GANAPATI AGRO INDUSTRIES</t>
  </si>
  <si>
    <t>GARWARE MOTORS LIMITED</t>
  </si>
  <si>
    <t>GAURA ELECTRIC VEHICLES PVT LTD</t>
  </si>
  <si>
    <t>GAURI AUTO INDIA PVT. LTD</t>
  </si>
  <si>
    <t>GAYAM MOTOR WORKS PRIVATE LIMITED</t>
  </si>
  <si>
    <t>GAYATRI ELECTRIC VEHICLES</t>
  </si>
  <si>
    <t>GEMAG CONSTRUCTION MACHINARY</t>
  </si>
  <si>
    <t>GENERAL AGENCIES(KOLKATA) PVT LTD</t>
  </si>
  <si>
    <t>GENERAL MOTORS INDIA PVT LTD</t>
  </si>
  <si>
    <t>GEO ALLIANCE</t>
  </si>
  <si>
    <t>GILL AGRICULTURE WORKS</t>
  </si>
  <si>
    <t>GILL AGROTECH</t>
  </si>
  <si>
    <t>GIRNAR SCOOTERS LTD</t>
  </si>
  <si>
    <t>GKON ELECTRIC MOTOR VEHICLES PVT LTD</t>
  </si>
  <si>
    <t>GO GREEN EOT (ENERGY OF THINGS) PVT LTD</t>
  </si>
  <si>
    <t>GOBIND INDUSTRIES PVT LTD</t>
  </si>
  <si>
    <t>GODAWARI ELECTRIC MOTORS PVT LTD</t>
  </si>
  <si>
    <t>GODAWARI TECHNO SOLUTIONS PVT LTD</t>
  </si>
  <si>
    <t>GODREJ AND BOYCE MFG CO LTD</t>
  </si>
  <si>
    <t>GOENKA ELECTRIC MOTOR VEH P L</t>
  </si>
  <si>
    <t>GOENKA ELECTRIC MOTOR VEHICLES PVT LTD</t>
  </si>
  <si>
    <t>GOGORO (IMPORTER: GOGORO INDIA PRIVATE LTD)</t>
  </si>
  <si>
    <t>GOGORO INDIA PVT LTD</t>
  </si>
  <si>
    <t>GOLD HOFER</t>
  </si>
  <si>
    <t>GOLDENLION (IMPORTER:ELLYSIUM AUTOMOTIVES PVT LTD)</t>
  </si>
  <si>
    <t>GOOD ENERGY INDIA</t>
  </si>
  <si>
    <t>GOOD WILL HI PRECISION</t>
  </si>
  <si>
    <t>GOODENERGY INDIA PVT LTD</t>
  </si>
  <si>
    <t>GOODWILL HI PRECISION WORKS PVT LTD</t>
  </si>
  <si>
    <t>GOPAL AGROTECH</t>
  </si>
  <si>
    <t>GOPAL AUTO MOTORS PVT LTD</t>
  </si>
  <si>
    <t>GOREEN E-MOBILITY PVT LTD</t>
  </si>
  <si>
    <t>GRAM TARANG EMPLOYABILITY TRAINNING SERVICES P LTD</t>
  </si>
  <si>
    <t>GRD MOTORS</t>
  </si>
  <si>
    <t>GREAT AUTOMOTIVE LIMITED</t>
  </si>
  <si>
    <t>GREAVES COTTON LTD.</t>
  </si>
  <si>
    <t>GREAVES ELECTRIC MOBILITY PVT LTD</t>
  </si>
  <si>
    <t>GREAVES INDIA PVT LTD</t>
  </si>
  <si>
    <t>GREEN EVOLVE PVT LTD</t>
  </si>
  <si>
    <t>GREEN IMPEX</t>
  </si>
  <si>
    <t>GREEN KAIKETSU AUTOMATIVE IND</t>
  </si>
  <si>
    <t>GREEN KAIKETSU AUTOMOTIVE INDIA PVT LTD</t>
  </si>
  <si>
    <t>GREEN SHUTTLE TECHNOLOGY PVT LTD</t>
  </si>
  <si>
    <t>GREEN STAR MOTORS</t>
  </si>
  <si>
    <t>GREEN TACK EMPALA ELECTRIC MOTOR COMPANY</t>
  </si>
  <si>
    <t>GREEN TECHNOLOGIES</t>
  </si>
  <si>
    <t>GREEN VALLEY MOTORS</t>
  </si>
  <si>
    <t>GREEN WAY ECO RIDE</t>
  </si>
  <si>
    <t>GREEN WHEELZ (INDIA)</t>
  </si>
  <si>
    <t>GREEN WORLD MOTORS PVT LTD</t>
  </si>
  <si>
    <t>GREENETICS INDUSTRIES PVT LTD</t>
  </si>
  <si>
    <t>GREENFIT INDUSTRIES LLP</t>
  </si>
  <si>
    <t>GREENTECH AUTO LLP</t>
  </si>
  <si>
    <t>GREENWHEELS AUTOMOBILE PVT LTD</t>
  </si>
  <si>
    <t>GRG SMART VEHICLE PVT LTD</t>
  </si>
  <si>
    <t>GRINDIA G MOTORS PVT LTD</t>
  </si>
  <si>
    <t>GUANGXI MEIBAO(IMPORTER: DYNAMO ELECTRIC)</t>
  </si>
  <si>
    <t>GUJARAT TRACTOR CORP LTD</t>
  </si>
  <si>
    <t>GURDEEP ENGINEERING WORKS</t>
  </si>
  <si>
    <t>GURJEET AGRO INDUSTRIES</t>
  </si>
  <si>
    <t>GURU JI WHEELS</t>
  </si>
  <si>
    <t>GURUKIRPA INDUSTRIES</t>
  </si>
  <si>
    <t>GURUKIRPA MOTORS</t>
  </si>
  <si>
    <t>GURUKRAPA ENGINEERING WORKS</t>
  </si>
  <si>
    <t>H. D. AUTOMOTIVES</t>
  </si>
  <si>
    <t>H.M.S.I. PVT. LTD.</t>
  </si>
  <si>
    <t>HAARISH AUTOMOTIVES (OPC) PRIVATE LIMITED</t>
  </si>
  <si>
    <t>HAITEK AUTOMOTIVE PVT LTD</t>
  </si>
  <si>
    <t>HAMPI TRACTORS</t>
  </si>
  <si>
    <t>HANUMAN UDYOG</t>
  </si>
  <si>
    <t>HARJAS AGRO INDUSTRIES</t>
  </si>
  <si>
    <t>HARSH TRADING CO</t>
  </si>
  <si>
    <t>HARSHVIE INDUSTRIES PVT LTD</t>
  </si>
  <si>
    <t>HAYASA E-MOBILITY (INDIA) PVT LTD</t>
  </si>
  <si>
    <t>HBSS E MOBILITY PVT LTD</t>
  </si>
  <si>
    <t>H-D MOTOR COMPANY INDIA PVT LTD</t>
  </si>
  <si>
    <t>HERCULES CRANE PVT.LTD.</t>
  </si>
  <si>
    <t>HERO ECO VEHICLES PVT LTD</t>
  </si>
  <si>
    <t>HERO ELECTRIC VEHICLE PVT LTD</t>
  </si>
  <si>
    <t>HERO ELECTRIC VEHICLES PVT. LTD</t>
  </si>
  <si>
    <t>HERO HONDA MOTORS  LTD</t>
  </si>
  <si>
    <t>HERO MOTOCORP LTD</t>
  </si>
  <si>
    <t>HETTRA HET TRAILER</t>
  </si>
  <si>
    <t>HIM TEKNOFORGE LTD</t>
  </si>
  <si>
    <t>HIND AGRO INDUSTRIES</t>
  </si>
  <si>
    <t>HINDUSTAN MOTOR CORPORATION</t>
  </si>
  <si>
    <t>HINDUSTAN MOTOR FINANCE CORPORATION LIMITED</t>
  </si>
  <si>
    <t>HITECH  MECHANICAL WORKS</t>
  </si>
  <si>
    <t>HITECH ELECTRIC AUTO CO</t>
  </si>
  <si>
    <t>HITECH INDUSTRIES</t>
  </si>
  <si>
    <t>HI-TECH INDUSTRIES</t>
  </si>
  <si>
    <t>HITEK ELECTRIC AUTO CO</t>
  </si>
  <si>
    <t>HITEK ELECTRIC AUTO CO.</t>
  </si>
  <si>
    <t>HMT LIMITED</t>
  </si>
  <si>
    <t>HOMFEEL VEGH AUTOMOBILES PVT LTD</t>
  </si>
  <si>
    <t>HONDA CARS INDIA LTD</t>
  </si>
  <si>
    <t>HONDA MOTORCYCLE AND SCOOTER INDIA (P) LTD</t>
  </si>
  <si>
    <t>HONGKONG YIXING (IMPORTER: ADMS MARKETING)</t>
  </si>
  <si>
    <t>HONGKONG YIXING (IMPORTER: VICTORY ELECTRIC)</t>
  </si>
  <si>
    <t>HOOGHLY MOTORS PVT LTD</t>
  </si>
  <si>
    <t>HOP ELECTRIC MOBILITY PVT LTD</t>
  </si>
  <si>
    <t>HOP MOTORS PVT LTD</t>
  </si>
  <si>
    <t>HOTAGE INDIA</t>
  </si>
  <si>
    <t>HOUSTAN INNOVATION LLP</t>
  </si>
  <si>
    <t>HOVEL CYLINDER PVT LTD</t>
  </si>
  <si>
    <t>HSU DRAGON (IMPORTER: DARK FIGHT POWER PVT LTD)</t>
  </si>
  <si>
    <t>HUNDA EV PVT LTD</t>
  </si>
  <si>
    <t>HUNDAL INDUSTRIES</t>
  </si>
  <si>
    <t>HYKON INDIA LTD</t>
  </si>
  <si>
    <t>HYUNDAI MOTOR INDIA LTD</t>
  </si>
  <si>
    <t>HYUNDAI MOTORS LTD, SOUTH KOREA</t>
  </si>
  <si>
    <t>IDEAL JAWA INDIA PVT LTD</t>
  </si>
  <si>
    <t>INDIA SAFE ENTERPRISE</t>
  </si>
  <si>
    <t>INDIA YAMAHA MOTOR PVT LTD</t>
  </si>
  <si>
    <t>INDIAN MOTORS</t>
  </si>
  <si>
    <t>INDO FARM EQUIPMENT LIMITED</t>
  </si>
  <si>
    <t>INDUS ELECTROTHERM INDIA LTD</t>
  </si>
  <si>
    <t>INS AUTOMOBILES PVT LTD</t>
  </si>
  <si>
    <t>INTERNATIONAL CARS &amp; MOTORS LTD</t>
  </si>
  <si>
    <t>INTERNATIONAL TRACTORS LIMITED</t>
  </si>
  <si>
    <t>INVVIGORS INDIA</t>
  </si>
  <si>
    <t>IRA EDUTECH PVT LTD</t>
  </si>
  <si>
    <t>ISUKII GREENS PVT LTD</t>
  </si>
  <si>
    <t>ISUZU MOTOR INDIA PVT LTD</t>
  </si>
  <si>
    <t>IVOOMI INNOVATION PVT LTD</t>
  </si>
  <si>
    <t>IZANAU ELECTRIC LLP</t>
  </si>
  <si>
    <t>J P AUTO TECH</t>
  </si>
  <si>
    <t>J S AGRO INDUSTRIES</t>
  </si>
  <si>
    <t>J S MOBILEON PVT LTD</t>
  </si>
  <si>
    <t>J. S. AUTO (P) LTD</t>
  </si>
  <si>
    <t>J.S.AUTO PVT LTD (KANPUR)</t>
  </si>
  <si>
    <t>JADE KOREA SPINE LIFE</t>
  </si>
  <si>
    <t>JAGUAR LAND ROVER INDIA LIMITED</t>
  </si>
  <si>
    <t>JAI AMBE FABRICATION &amp; ENGINEERING WORK</t>
  </si>
  <si>
    <t>JAI BHAVANI ENGINEERING  WORKS</t>
  </si>
  <si>
    <t>JAI SRI RAM ELECTRIC VEHICLE MANUFACTURING PVT LTD</t>
  </si>
  <si>
    <t>JAIDKA POWER SYSTEMS PVT LTD</t>
  </si>
  <si>
    <t>JAIN POWER CORP</t>
  </si>
  <si>
    <t>JAISIK BUSINESS LINKS PVT LTD</t>
  </si>
  <si>
    <t>JAISWAL INDUSTRIES</t>
  </si>
  <si>
    <t>JAJODIA COMMODITIES PVT LTD</t>
  </si>
  <si>
    <t>JAL ENTERPRISES</t>
  </si>
  <si>
    <t>JANANI TRAILERS</t>
  </si>
  <si>
    <t>JAY ACE TECHNOLOGIES LTD</t>
  </si>
  <si>
    <t>JAY AMBE AGRICULTURE</t>
  </si>
  <si>
    <t>JAYA AUTOMOTIVES PVT LTD      </t>
  </si>
  <si>
    <t>JAYANTI AGRO CENTRES</t>
  </si>
  <si>
    <t>JAYATI TOOLS</t>
  </si>
  <si>
    <t>JAYDEV ENTERPRISE</t>
  </si>
  <si>
    <t>JAYEM AUTOMOTIVES PVT LTD</t>
  </si>
  <si>
    <t>JAYNA AUTOMOBILES LLP</t>
  </si>
  <si>
    <t>JCB INDIA LTD</t>
  </si>
  <si>
    <t>JEEVA TRAILERS</t>
  </si>
  <si>
    <t>JEEVAA E-BIKE MFG PVT LTD</t>
  </si>
  <si>
    <t>JEMCO ENGINEERING PVT LTD</t>
  </si>
  <si>
    <t>JESSUN TECHNO PVT LTD</t>
  </si>
  <si>
    <t>JIANGSU AIMA (IMPORTER: FUTURE EV)</t>
  </si>
  <si>
    <t>JIANGSU AIMA (IMPORTER: QUANTUM ENERGY)</t>
  </si>
  <si>
    <t>JIANGSU DALONG (IMPORTER: ENGTIAN ELECTRIC)</t>
  </si>
  <si>
    <t>JIANGSU DALONG (IMPORTER: KINGCHE MOBILITY)</t>
  </si>
  <si>
    <t>JIANGSU DALONG (IMPORTER: RILOX EV PVT LTD)</t>
  </si>
  <si>
    <t>JIANGSU DALONG (IMPORTER: SABOO TOR)</t>
  </si>
  <si>
    <t>JIANGSU DALONG (IMPORTER:TYLOS ELECTRIC VEHICLES)</t>
  </si>
  <si>
    <t>JIANGSU DALONG JIANHAO (IMPORTER: GREEN INDIA)</t>
  </si>
  <si>
    <t>JIANGSU GUOWEI (IMPORTER: REVEAL ELECTRIC)</t>
  </si>
  <si>
    <t>JIANGSU GUOWEI (IMPORTER:ELECTRO-TECH)</t>
  </si>
  <si>
    <t>JIANGSU JINPENG (IMPORTER: KKL HITECH EV)</t>
  </si>
  <si>
    <t>JIANGSU SUNHOU (IMPORTER: SABOO TOR)</t>
  </si>
  <si>
    <t>JIANGSU XINRI (IMPORTER: NISIKI TECHNOLOGIES)</t>
  </si>
  <si>
    <t>JIANGSU XINRI E-VEHICLE(IMPORTER SWIFT CUR.TECH.)</t>
  </si>
  <si>
    <t>JIANGSU ZHEENAIDA (IMPORTER: KLB GLOBAL)</t>
  </si>
  <si>
    <t>JIJO ELECTRIC WHEELS PVT LTD</t>
  </si>
  <si>
    <t>JINDAL ELECTRIC VEHICLES</t>
  </si>
  <si>
    <t>JITENDRA NEW EV-TECH PVT. LTD</t>
  </si>
  <si>
    <t>JITENDRA TEMPO PARTS</t>
  </si>
  <si>
    <t>JMT VEHICLES PVT LTD</t>
  </si>
  <si>
    <t>JOHN DEERE INDIA  PVT LTD(TRACTOR DEVISION)</t>
  </si>
  <si>
    <t>JOYRAM STEEL FABRICATION WORKS</t>
  </si>
  <si>
    <t>JS MOBILEON PVT LTD</t>
  </si>
  <si>
    <t>JSS ENGINEERING COMPANY</t>
  </si>
  <si>
    <t>JUNENG MOTORCYCLE (IMPORTER: ADMS MARKETING)</t>
  </si>
  <si>
    <t>JUNENG MOTORCYCLE (IMPORTER: ISCOOT MOTERS)</t>
  </si>
  <si>
    <t>JUNENG MOTORCYCLE (IMPORTER: JHEV MOTORS PVT LTD)</t>
  </si>
  <si>
    <t>JUNENG MOTORCYCLE TECH. (IMPORTER: DELTA AUTOCORP)</t>
  </si>
  <si>
    <t>JUNGHEINRICH AG AND CO</t>
  </si>
  <si>
    <t>JUNO CASTINGS PVT LTD</t>
  </si>
  <si>
    <t>K M MOTORS</t>
  </si>
  <si>
    <t>K T ENTERPRISES</t>
  </si>
  <si>
    <t>K. S. INDUSTRIES</t>
  </si>
  <si>
    <t>K. V. INDUSTRIES</t>
  </si>
  <si>
    <t>KABIRA MOBILITY LLP</t>
  </si>
  <si>
    <t>KABMAX ELECTRIC AUTOMOBILES PVT. LTD</t>
  </si>
  <si>
    <t>KADESEETLA AASHIRWAD GP INDUSTRIES PVT LTD</t>
  </si>
  <si>
    <t>KAINING (HONGKONG) (IMPORTER: ENERGY AUTOMOBILE)</t>
  </si>
  <si>
    <t>KAINING (HONGKONG) (IMPORTER: ENIGMA AUTOMOBILES)</t>
  </si>
  <si>
    <t>KAINING (HONGKONG) (IMPORTER: TOXMO ELECTRIC)</t>
  </si>
  <si>
    <t>KAINING (HONGKONG) (IMPORTER: VOLTA EV PVT LTD)</t>
  </si>
  <si>
    <t>KAINING (HONGKONG) (IMPORTER:M/S IZANAU ELECTRIC)</t>
  </si>
  <si>
    <t>KAKKAR ELECTRIC AUTO PVT LTD</t>
  </si>
  <si>
    <t>KALIKA VAHAN PVT LTD</t>
  </si>
  <si>
    <t>KALINGA VENTURES IND P</t>
  </si>
  <si>
    <t>KALINGA VENTURES INDIA PVT LTD</t>
  </si>
  <si>
    <t>KALPVRIKSH ELECTOMOBILES CO</t>
  </si>
  <si>
    <t>KAMAZ INDUSTRIES</t>
  </si>
  <si>
    <t>KANHA ELECTRIC VEHICLES</t>
  </si>
  <si>
    <t>KANIFA AUTOMOTIVE PVT LTD</t>
  </si>
  <si>
    <t>KAPTECH INDIA PVT LTD</t>
  </si>
  <si>
    <t>KARNATAKA SCOOTERS LTD</t>
  </si>
  <si>
    <t>KARTAR AGRO ENGINEERS PVT LTD</t>
  </si>
  <si>
    <t>KARTAR AGRO INDUSTRIES PVT LTD</t>
  </si>
  <si>
    <t>KARUMALAIAN AGRO INDUSTRY     </t>
  </si>
  <si>
    <t>KATYAYANI AUTOMOTIVE</t>
  </si>
  <si>
    <t>KAYAMEL MACHINE PRIVATE LTD</t>
  </si>
  <si>
    <t>KCAS ELECTRIC VEHICLES PVT LTD</t>
  </si>
  <si>
    <t>KELVINATOR INDIA LTD          </t>
  </si>
  <si>
    <t>KERALA AUTOMOBILES LIMITED</t>
  </si>
  <si>
    <t>KETO MOTORS PVT LTD</t>
  </si>
  <si>
    <t>KETRON ELECTRIC VEHICLES PVT LTD</t>
  </si>
  <si>
    <t>KGN</t>
  </si>
  <si>
    <t>KGN INDUSTRIES</t>
  </si>
  <si>
    <t>KHALSA  AGRO INDUSTRIES</t>
  </si>
  <si>
    <t>KHALSA E-VEHICLES PVT LTD</t>
  </si>
  <si>
    <t>KHAN ENGINEERING WORKS</t>
  </si>
  <si>
    <t>KHEMRAJ AUTOMOTIVE INDUSTRIES</t>
  </si>
  <si>
    <t>KIA INDIA PRIVATE LIMITED</t>
  </si>
  <si>
    <t>KINETIC GREEN ENERGY &amp; POWER SOLUTIONS LTD</t>
  </si>
  <si>
    <t>KINETIC GREEN ENERGY P SOL LTD</t>
  </si>
  <si>
    <t>KINETIC MOTOR COMPANY LIMITED</t>
  </si>
  <si>
    <t>KION INDIA PVT LTD</t>
  </si>
  <si>
    <t>KIRAN AUTOMOBILE INDUSTRY</t>
  </si>
  <si>
    <t>KIRTI SOLAR LTD</t>
  </si>
  <si>
    <t>KISAN AGRO INDUSTRIES</t>
  </si>
  <si>
    <t>KLB KOMAKI PVT LTD</t>
  </si>
  <si>
    <t>KNIGHT QUEEN INDUSTRIES PV LTD</t>
  </si>
  <si>
    <t>KNIGHT QUEEN INDUSTRIES PVT LTD</t>
  </si>
  <si>
    <t>KPT INDUSTRIES LTD</t>
  </si>
  <si>
    <t>KPT MOTORS</t>
  </si>
  <si>
    <t>KRANTI AUTOMOBILES LIMITED</t>
  </si>
  <si>
    <t>KRANTI AUTOMOBILES LTD</t>
  </si>
  <si>
    <t>KRANTI INTERNATIONAL</t>
  </si>
  <si>
    <t>KRISHI ENGINEERING WORKS</t>
  </si>
  <si>
    <t>KRISHNA ENGINEERING</t>
  </si>
  <si>
    <t>KRISHNA ENGINEERING WORKS</t>
  </si>
  <si>
    <t>KRISHNA INDUSTRIES</t>
  </si>
  <si>
    <t>KRISHNA VEHICALS</t>
  </si>
  <si>
    <t>KRT MOTORS PVT LTD</t>
  </si>
  <si>
    <t>KUBOTA AGRICULTURAL MACHINERY INDIA PVT.LTD.</t>
  </si>
  <si>
    <t>KUKU AUTOMOTIVES</t>
  </si>
  <si>
    <t>KUMAR ENGINEERING</t>
  </si>
  <si>
    <t>KUMAR MOTORS PVT LTD</t>
  </si>
  <si>
    <t>KUMARAN ENGINEERING ENTERPRISES</t>
  </si>
  <si>
    <t>KYTE ENERGY PVT. LTD.</t>
  </si>
  <si>
    <t>L &amp; T CASE EQUIPMENT PVT LTD</t>
  </si>
  <si>
    <t>LAKSHMI AGRO INDUSTRIES</t>
  </si>
  <si>
    <t>LAKSHMI AUTO TRADERS</t>
  </si>
  <si>
    <t>LAKSHYA AUTO SALES CORPORATION</t>
  </si>
  <si>
    <t>LAKSHYA MOTORS</t>
  </si>
  <si>
    <t>LALA G E RICKSHAW AND SPARE PARTS</t>
  </si>
  <si>
    <t>LAUNCHER MATERIAL HANDLING INDUSTRIES</t>
  </si>
  <si>
    <t>LAWAT MOTORS</t>
  </si>
  <si>
    <t>LAWAT MOTORS LLP</t>
  </si>
  <si>
    <t>LAXMI E-RICKSHAW COMPANY</t>
  </si>
  <si>
    <t>LECTRIX EV PVT LTD</t>
  </si>
  <si>
    <t>LEOPAN MOTORS PRIVATE LIMITED</t>
  </si>
  <si>
    <t>LI-IONS ELEKTRIK SOLUTIONS PVT LTD</t>
  </si>
  <si>
    <t>LIMA VEHICLE GROUP(IMPORTER: ROUTE &amp; MARS EV LLP)</t>
  </si>
  <si>
    <t>LIONIZE AUTOMOBILE PVT LTD</t>
  </si>
  <si>
    <t>LIUGONG INDIA PVT. LTD</t>
  </si>
  <si>
    <t>LML LIMITED</t>
  </si>
  <si>
    <t>LMV LTD</t>
  </si>
  <si>
    <t>LOCAL TRAILER MANUFACTURER</t>
  </si>
  <si>
    <t>LOG 9 MATERIALS SCIENTIFIC PVT LTD</t>
  </si>
  <si>
    <t>LOHIA AUTO INDUSTRIES</t>
  </si>
  <si>
    <t>LOHIA AUTO INDUSTRIES LTD.</t>
  </si>
  <si>
    <t>LORDS VEHICLE MFG PVT LTD</t>
  </si>
  <si>
    <t>LOTEY AGRO INDUSTRY</t>
  </si>
  <si>
    <t>LOTIA  MOTORS  LTD</t>
  </si>
  <si>
    <t>LUCKY INDUSTRIES</t>
  </si>
  <si>
    <t>M G INDUSTRIES</t>
  </si>
  <si>
    <t>M K BROTHERS</t>
  </si>
  <si>
    <t>M K ENTERPRISES</t>
  </si>
  <si>
    <t>M.G.P ENGINEERING WORKS</t>
  </si>
  <si>
    <t>M.K. ENTERPRISES</t>
  </si>
  <si>
    <t>M/S CHAMPION POLY PLAST</t>
  </si>
  <si>
    <t>M/S HOVEL CYLINDER PVT LTD</t>
  </si>
  <si>
    <t>M/S JASRAJ AUTO AGENCY</t>
  </si>
  <si>
    <t>M/S PATEL &amp; SONS ENGINEERING WORKS,SAMBALPUR</t>
  </si>
  <si>
    <t>M/S SHRIRAM AUTO TECH PVT LTD</t>
  </si>
  <si>
    <t>M/S SRISHTI AUTOMOBILES</t>
  </si>
  <si>
    <t>M/S SUBHAM ENGINEERING WORKSHOP, BALIAPAL, BALASORE</t>
  </si>
  <si>
    <t>M/S TRISHIKA INDUSTRIES</t>
  </si>
  <si>
    <t>M/S UNITY MOTOR BODY</t>
  </si>
  <si>
    <t>M/S VISHNU CLEAN ENERGY VEHICLES LLP</t>
  </si>
  <si>
    <t>M/S. DAVE EXIM (P) LTD.</t>
  </si>
  <si>
    <t>M2GO ELECTRIC VEHICLE PVT LTD</t>
  </si>
  <si>
    <t>M2J E VAHAN PVT LTD</t>
  </si>
  <si>
    <t>MAA DURGA ELECTRIC MOTOR VEHICLE PVT LTD</t>
  </si>
  <si>
    <t>MAA KALPANA ENTERPRISE</t>
  </si>
  <si>
    <t>MAA LUXMI E-VEHICLES PVT. LTD.</t>
  </si>
  <si>
    <t>MAA SHAKTI EXIM PVT LTD</t>
  </si>
  <si>
    <t>MAC AUTO INDIA</t>
  </si>
  <si>
    <t>MAC INTERNATIONAL (IMPORTER: JHEV MOTORS PVT LTD)</t>
  </si>
  <si>
    <t>MAC INTERNATIONAL (IMPORTER:HONESTY)</t>
  </si>
  <si>
    <t>MACNEILL ENGG LTD</t>
  </si>
  <si>
    <t>MACNEILL ENGINEERING LIMITED</t>
  </si>
  <si>
    <t>MAHALINGA ENGG. INDUSTRIES  </t>
  </si>
  <si>
    <t>MAHARASTRA SCOOTER LIMITED</t>
  </si>
  <si>
    <t>MAHI ENTERPRISES</t>
  </si>
  <si>
    <t>MAHINDRA &amp; MAHINDRA LIMITED</t>
  </si>
  <si>
    <t>MAHINDRA &amp; MAHINDRA LIMITED (SWARAJ DIVISION)</t>
  </si>
  <si>
    <t>MAHINDRA &amp; MAHINDRA LIMITED (TRACTOR)</t>
  </si>
  <si>
    <t>MAHINDRA ELECTRIC MOBILITY LIMITED</t>
  </si>
  <si>
    <t>MAHINDRA GUJARAT TRACTOR LIMITED</t>
  </si>
  <si>
    <t>MAHINDRA LAST MILE MOBILITY LTD</t>
  </si>
  <si>
    <t>MAHINDRA NAVISTAR  AUTOMOTIVES LTD</t>
  </si>
  <si>
    <t>MAHINDRA NISSAN ALLWYN LTD.</t>
  </si>
  <si>
    <t>MAHINDRA RENAULT PVT.LTD.</t>
  </si>
  <si>
    <t>MAHINDRA TWO WHEELERS LTD</t>
  </si>
  <si>
    <t>MAHINDRA VEHICLE MANUFACTURER LIMITED</t>
  </si>
  <si>
    <t>MAHTAB BODY MAKER</t>
  </si>
  <si>
    <t>MALAK TECHNO PVT LTD</t>
  </si>
  <si>
    <t>MALHOTRA  VEHICLE MANUFACTURING PVT LTD</t>
  </si>
  <si>
    <t>MALI ENTERPRISES PVT LTD</t>
  </si>
  <si>
    <t>MAN TRUCKS INDIA PVT. LTD.</t>
  </si>
  <si>
    <t>MANIRAM ELECTRIC VEHICLE PVT LTD</t>
  </si>
  <si>
    <t>MANISH EV INTERNATIONAL PRIVATE LIMITED</t>
  </si>
  <si>
    <t>MANITA CITY MOTORS LLP</t>
  </si>
  <si>
    <t>MANMOHAN KAUR</t>
  </si>
  <si>
    <t>MARINE NAVAIDS &amp; SOLAR AUTO PVT LTD</t>
  </si>
  <si>
    <t>MARKUS</t>
  </si>
  <si>
    <t>MARUTHISAN PVT LTD</t>
  </si>
  <si>
    <t>MARUTI SUZUKI INDIA LTD</t>
  </si>
  <si>
    <t>MAULIRAJ INDUSTRIES LLP</t>
  </si>
  <si>
    <t>MAXI CAB</t>
  </si>
  <si>
    <t>MAYUR ENTERPRISES,BARIPADA</t>
  </si>
  <si>
    <t>MECPOWER MOBILITY PVT. LTD.</t>
  </si>
  <si>
    <t>MEGHA TRAILERS</t>
  </si>
  <si>
    <t>MERCEDES -BENZ AG</t>
  </si>
  <si>
    <t>MERCEDES-BENZ INDIA PVT LTD</t>
  </si>
  <si>
    <t>MEW ELECTRICALS LIMITED</t>
  </si>
  <si>
    <t>MG MOTOR INDIA PVT LTD</t>
  </si>
  <si>
    <t>MICROAUTOTECH PVT. LTD.</t>
  </si>
  <si>
    <t>MICROCON I2I PVT LTD</t>
  </si>
  <si>
    <t>MILLENNIAL MOTORS LLP</t>
  </si>
  <si>
    <t>MINI METRO</t>
  </si>
  <si>
    <t>MINI METRO EV L.L.P</t>
  </si>
  <si>
    <t>MIRAKLE 5 AUTOMOBILES PVT LTD</t>
  </si>
  <si>
    <t>MITHU BAJRANG ENG.WORKS</t>
  </si>
  <si>
    <t>MLR AUTO LTD</t>
  </si>
  <si>
    <t>MODIKA INTERNATIONAL (IMPORTER: FRANKLIN EV)</t>
  </si>
  <si>
    <t>MOHAN GENERAL TRADING COMPANY</t>
  </si>
  <si>
    <t>MOMU AUTOMOTIVE</t>
  </si>
  <si>
    <t>MONDAL TRADING</t>
  </si>
  <si>
    <t>MOTOR &amp; GENERAL SALES LTD.</t>
  </si>
  <si>
    <t>MOTOR &amp; GENERAL SALES PVT LTD</t>
  </si>
  <si>
    <t>MOTOROYALE KINETIC PRIVATE LIMITED</t>
  </si>
  <si>
    <t>MOTOVOLT MOBILITY PVT LTD</t>
  </si>
  <si>
    <t>MOTRAC MOTORS PVT LTD</t>
  </si>
  <si>
    <t>MOVE STONE SERVICES PVT LTD</t>
  </si>
  <si>
    <t>MSI INDUSTRIES</t>
  </si>
  <si>
    <t>MULTI DIMENSIONAL SOLUTIONS</t>
  </si>
  <si>
    <t>MUNDE MECHANICAL WORKS</t>
  </si>
  <si>
    <t>MUTHUR AGRO ENGINEERING WORKS</t>
  </si>
  <si>
    <t>MVM MOTORS PRIVATE LIMITED</t>
  </si>
  <si>
    <t>N0VA AUTOMOTIVE TECHNOLOGIES PVT. LTD</t>
  </si>
  <si>
    <t>NABH MOTORS PVT LTD</t>
  </si>
  <si>
    <t>NAMAH INDUSTRIES PVT LTD</t>
  </si>
  <si>
    <t>NAND ELECTRIC MOTOR VEHICLE PVT LTD</t>
  </si>
  <si>
    <t>NANNHRAY AGIRCULTURE WORKS</t>
  </si>
  <si>
    <t>NANYA AIRCONN PVT LTD</t>
  </si>
  <si>
    <t>NARAINDASS AND SONS</t>
  </si>
  <si>
    <t>NB TURNED  COMPONENTS PVT LTD</t>
  </si>
  <si>
    <t>NBC ENGINEERING PVT LTD</t>
  </si>
  <si>
    <t>NDS ECO MOTORS PVT LTD</t>
  </si>
  <si>
    <t>NEEDLE EYE PLASTIC INDUSTRIES PVT LTD</t>
  </si>
  <si>
    <t>NEELAM AGRO EQUIP</t>
  </si>
  <si>
    <t>NEELAM CYCLE</t>
  </si>
  <si>
    <t>NEUON MOTORS LLP</t>
  </si>
  <si>
    <t>NEW ARCANA INDIA</t>
  </si>
  <si>
    <t>NEW CHAWLA INDUSTRIES</t>
  </si>
  <si>
    <t>NEW HOLLAND CONSTRUCTION EQUIPMENT(I) PVT.LTD.</t>
  </si>
  <si>
    <t>NEW MARTHWADA QUALITY TRAILOR</t>
  </si>
  <si>
    <t>NEWTON INDIA INDUSTRIES PVT LTD</t>
  </si>
  <si>
    <t>NEXZU MOBILITY PVT LTD</t>
  </si>
  <si>
    <t>NGAGE IMPEX PVT LTD</t>
  </si>
  <si>
    <t>NGAGE WHEEL PVT LTD</t>
  </si>
  <si>
    <t>NHD MOTORS</t>
  </si>
  <si>
    <t>NIBE MOTORS PVT LTD</t>
  </si>
  <si>
    <t>NIC TEST ACCOUNT-1</t>
  </si>
  <si>
    <t>NICOLAS INDUSTRIES</t>
  </si>
  <si>
    <t>NIKHIL FURNITURES</t>
  </si>
  <si>
    <t>NINGBO SANJIANG (IMPORTER: VABRO EVTECH)</t>
  </si>
  <si>
    <t>NIPUN SANYANTRA PVT LTD</t>
  </si>
  <si>
    <t>NIRMAL UTILITY SERVICES PVT LTD</t>
  </si>
  <si>
    <t>NISIKI TECHNOLOGIES PVT LTD</t>
  </si>
  <si>
    <t>NISSAN MOTOR INDIA PVT LTD</t>
  </si>
  <si>
    <t>NRJ ELECTRIC MOTOR VEHICLES PVT LTD</t>
  </si>
  <si>
    <t>NUMEROS MOTORS PVT LTD</t>
  </si>
  <si>
    <t>OBEN ELECTRIC VEHICLES PVT LTD</t>
  </si>
  <si>
    <t>OCULUS AUTO INDUSTRIES LLP</t>
  </si>
  <si>
    <t>ODYSSE ELECTRIC VEHICLES PVT LTD</t>
  </si>
  <si>
    <t>OGATA MOTORS INDIA PVT LTD</t>
  </si>
  <si>
    <t>OK PLAY INDIA LTD</t>
  </si>
  <si>
    <t>OKA MOTOR COMPANY LTD.</t>
  </si>
  <si>
    <t>OKAYA EV PVT LTD</t>
  </si>
  <si>
    <t>OKINAWA AUTOTECH PVT LTD</t>
  </si>
  <si>
    <t>OLA ELECTRIC TECHNOLOGIES PVT LTD</t>
  </si>
  <si>
    <t>OLECTRA GREENTECH LTD</t>
  </si>
  <si>
    <t>OLYMPUS INDUSTRIES PVT LTD</t>
  </si>
  <si>
    <t>OM BALAJEE AUTOMOBILE ( INDIA) PVT. LTD</t>
  </si>
  <si>
    <t>OM BALAJI AUTOMOBILES I P LTD</t>
  </si>
  <si>
    <t>OM INDUSTRIES</t>
  </si>
  <si>
    <t>OM PACKAGING</t>
  </si>
  <si>
    <t>OM RAJ AUTOTECH LLP</t>
  </si>
  <si>
    <t>OM. INDUSTRIES</t>
  </si>
  <si>
    <t>OMEGA SALES &amp; AGRO INDUSTRIES</t>
  </si>
  <si>
    <t>OMEGA SEIKI PVT LTD</t>
  </si>
  <si>
    <t>OMJAY EV LIMITED</t>
  </si>
  <si>
    <t>ORIGINAL FUEL SYSTEM PVT LTD</t>
  </si>
  <si>
    <t>OTHERS</t>
  </si>
  <si>
    <t>OZOTEC AUTOMOBILE PRIVATE LIMITED</t>
  </si>
  <si>
    <t>PAARTH SARTHI AUTOMOTIVE ENGINEERS PVT LTD</t>
  </si>
  <si>
    <t>PACE AGRO PRIVATE LIMITED</t>
  </si>
  <si>
    <t>PACE AGRO PVT LTD</t>
  </si>
  <si>
    <t>PAL DIESAL PVT LTD</t>
  </si>
  <si>
    <t>PANSEN ENGINEERING INDIA PVT LTD</t>
  </si>
  <si>
    <t>PANTHER ELECTRIC VEHICLES</t>
  </si>
  <si>
    <t>PARAG AGRO</t>
  </si>
  <si>
    <t>PARAS INDUSTRIES</t>
  </si>
  <si>
    <t>PARI E-VEHICLES</t>
  </si>
  <si>
    <t>PARI METRO E RICKSHAW</t>
  </si>
  <si>
    <t>PARVEEN AUTO</t>
  </si>
  <si>
    <t>PASHUPATI NATH MOTORS PVT LTD</t>
  </si>
  <si>
    <t>PASHUPATI VEHICLE PVT. LTD.</t>
  </si>
  <si>
    <t>PASHUPATI VEHICLES PVT LTD</t>
  </si>
  <si>
    <t>PATS MOTOR CORP</t>
  </si>
  <si>
    <t>PCA AUTOMOBILES INDIA PVT LTD</t>
  </si>
  <si>
    <t>PIAGGIO VEHICLES PVT LTD</t>
  </si>
  <si>
    <t>PILLING RIG</t>
  </si>
  <si>
    <t>PINNACLE MOBILITY SOLUTIONS PVT LTD</t>
  </si>
  <si>
    <t>PLAUDIT TECHNO INDIA PVT LTD</t>
  </si>
  <si>
    <t>PMI ELECTRO MOBILITY SOLUTIONS PRIVATE LIMITED</t>
  </si>
  <si>
    <t>PONMALAR TRAILERS</t>
  </si>
  <si>
    <t>POOSHPAK AUTOMOBILES PVT LTD</t>
  </si>
  <si>
    <t>PORFITEL TECHNOLOGY (IMPORTER: AERORIDE)</t>
  </si>
  <si>
    <t>PORSCHE AG</t>
  </si>
  <si>
    <t>PORSCHE AG GERMANY</t>
  </si>
  <si>
    <t>PORWAL ELECTRIC</t>
  </si>
  <si>
    <t>POWERLAND AGRO TRACTOR VEHICLES PVT LTD</t>
  </si>
  <si>
    <t>PRAAKARM AUTO &amp; CONSTRUCTION EQUIPMENTS</t>
  </si>
  <si>
    <t>PRABHA AUTOMOTIVE ENGINEERS PVT LTD</t>
  </si>
  <si>
    <t>PRAG MOTORS</t>
  </si>
  <si>
    <t>PRAGYA AUTOMOBILE PVT LTD</t>
  </si>
  <si>
    <t>PRAJAPATI ENG. WORKS</t>
  </si>
  <si>
    <t>PRAJJWAL MAHAJAN TRADERS</t>
  </si>
  <si>
    <t>PRAKASH ENTERPRISES</t>
  </si>
  <si>
    <t>PREET TRACTORS PVT. LTD.</t>
  </si>
  <si>
    <t>PREMIER LTD</t>
  </si>
  <si>
    <t>PRESTANTIA CREATIONS PVT LTD</t>
  </si>
  <si>
    <t>PRIDE E-MOTORS</t>
  </si>
  <si>
    <t>PRIMA PVT LTD</t>
  </si>
  <si>
    <t>PRIYAM INDUSTRIES AND ENGINEERING PVT LTD</t>
  </si>
  <si>
    <t>PUBANG ETRON ELECTRIC MOTOR PVT LTD</t>
  </si>
  <si>
    <t>PUNEET OVERSEAS  INC</t>
  </si>
  <si>
    <t>PUNJAB BODY BUILDERS</t>
  </si>
  <si>
    <t>PUNJAB TRACTORS LIMITED</t>
  </si>
  <si>
    <t>PUR ENERGY PVT LTD</t>
  </si>
  <si>
    <t>PURVA UDYOG PVT LTD</t>
  </si>
  <si>
    <t>PUSHKAR INDUSTRIES</t>
  </si>
  <si>
    <t>PYTHOX MOTORS PVT LTD</t>
  </si>
  <si>
    <t>QICHENG VEHICLE (IMPORTER: AUTOICARE INNOVATION)</t>
  </si>
  <si>
    <t>QOOKEE TECHNOLOGIES (IMPORTER:VIKEBIKE INDIA)</t>
  </si>
  <si>
    <t>QUANTUM ENERGY LTD.</t>
  </si>
  <si>
    <t>R.N.A.I.P.LTD</t>
  </si>
  <si>
    <t>R3 ENTERPRISES</t>
  </si>
  <si>
    <t>RAAJ AUTOMOTIVE</t>
  </si>
  <si>
    <t>RACCOON MOTORS PVT LTD</t>
  </si>
  <si>
    <t>RACHANACREATIONS AUTO PVT LTD</t>
  </si>
  <si>
    <t>RAFTAAR ELECTRIC GREEN VEHICLES PVT LTD</t>
  </si>
  <si>
    <t>RAHUL AGRO EXPORTS PVT LTD</t>
  </si>
  <si>
    <t>RAJ AUTOMOTIVE</t>
  </si>
  <si>
    <t>RAJA ARTS HITECH ENGINEERING</t>
  </si>
  <si>
    <t>RAJESH STEEL AND WIRE INDUSTRIES</t>
  </si>
  <si>
    <t>RAJIV RAJ VEHICLES PVT LTD</t>
  </si>
  <si>
    <t>RAJKAMAL MOTORS LTD</t>
  </si>
  <si>
    <t>RAM JANKI ENG. WORK</t>
  </si>
  <si>
    <t>RAMA INDUSTRIES</t>
  </si>
  <si>
    <t>RAMON INDUSTRIES</t>
  </si>
  <si>
    <t>RANA ENGINEER WORKS</t>
  </si>
  <si>
    <t>RASANDIK ENGINEERING</t>
  </si>
  <si>
    <t>RASANDIK ENGINEERING INDUSTRIES INDIA LTD</t>
  </si>
  <si>
    <t>RASANDIK MOTORS PVT LTD</t>
  </si>
  <si>
    <t>RASIWASIA RASAYAN PVT LTD</t>
  </si>
  <si>
    <t>RATHNA ENGINEERING COMPANY</t>
  </si>
  <si>
    <t>RAVI METAL WORKS</t>
  </si>
  <si>
    <t>RAYON ENGINEERS</t>
  </si>
  <si>
    <t>RCJ AUTO FORGE PVT LTD</t>
  </si>
  <si>
    <t>RD AND CO</t>
  </si>
  <si>
    <t>RDS INDUSTRIES</t>
  </si>
  <si>
    <t>REDDY AUTOMOTIVE PVT LTD</t>
  </si>
  <si>
    <t>REEP INDUSTRIES PVT LTD</t>
  </si>
  <si>
    <t>REFLEX CONTROL SYSTEM PVT</t>
  </si>
  <si>
    <t>REFLEX CONTROL SYSTEM PVT .LTD</t>
  </si>
  <si>
    <t>REGENERATION E BIKES</t>
  </si>
  <si>
    <t>RENAULT INDIA PVT LTD</t>
  </si>
  <si>
    <t>REPUBLIC MOTORS</t>
  </si>
  <si>
    <t>REPUBLIC PVT.LTD.</t>
  </si>
  <si>
    <t>REVA ELECTRIC CAR CO</t>
  </si>
  <si>
    <t>REVOLT INTELLICORP PVT LTD</t>
  </si>
  <si>
    <t>RGM BUSINESS PLUS PVT LTD</t>
  </si>
  <si>
    <t>RIBAND ELECTRIC PVT LTD</t>
  </si>
  <si>
    <t>RICHFORD ALLIANZ PVT LTD</t>
  </si>
  <si>
    <t>RIVER MOBILITY PVT LTD</t>
  </si>
  <si>
    <t>RIYA ENTERPRISE</t>
  </si>
  <si>
    <t>ROANSOME MOTORS</t>
  </si>
  <si>
    <t>ROARLEO MOTOR PVT LTD</t>
  </si>
  <si>
    <t>ROLLS ROYCE</t>
  </si>
  <si>
    <t>ROLLS ROYCE MOTOR (IMPORTER: KUN MOTOR)</t>
  </si>
  <si>
    <t>ROLLS-ROYCE MOTOR CARS(IMPORTER:SELECT CARS P LTD)</t>
  </si>
  <si>
    <t>ROWWET MOBILITY PVT LTD</t>
  </si>
  <si>
    <t>ROYAL-ENFIELD (UNIT OF EICHER LTD)</t>
  </si>
  <si>
    <t>ROYCE EV PVT LTD</t>
  </si>
  <si>
    <t>RP MOTORS</t>
  </si>
  <si>
    <t>RSD SECURITY SOLUTIONS PVT LTD</t>
  </si>
  <si>
    <t>RUDRA AUTO INDUSTRIES</t>
  </si>
  <si>
    <t>RUTBA PRODUCT PVT LTD</t>
  </si>
  <si>
    <t>S AND J INDUSTRIES</t>
  </si>
  <si>
    <t>S B TRADERS</t>
  </si>
  <si>
    <t>S E ASIA CO</t>
  </si>
  <si>
    <t>S J TRAILORS</t>
  </si>
  <si>
    <t>S M TRACTOR TRALERS, SHAHAPUR</t>
  </si>
  <si>
    <t>S S GLOBAL</t>
  </si>
  <si>
    <t>S.M. LTD.</t>
  </si>
  <si>
    <t>S.P. ELECTRONICS</t>
  </si>
  <si>
    <t>S.S.AGRO TECH</t>
  </si>
  <si>
    <t>S.V AUTOMOTIVE</t>
  </si>
  <si>
    <t>SAATHI TRADING CO</t>
  </si>
  <si>
    <t>SAERA ELECTRIC AUTO PVT LTD</t>
  </si>
  <si>
    <t>SAGAR AGRO INDUSTRIES</t>
  </si>
  <si>
    <t>SAGAR FABRICATIONS</t>
  </si>
  <si>
    <t>SAGAS AUTOTIC PVT LTD</t>
  </si>
  <si>
    <t>SAHKAR AGRO IND</t>
  </si>
  <si>
    <t>SAHNIANAND E VEHICLES PVT LTD</t>
  </si>
  <si>
    <t>SAI SAMEER POWER ELECTRIC VEHICLES PVT LTD</t>
  </si>
  <si>
    <t>SAIFIAN SOLAR PVT LTD</t>
  </si>
  <si>
    <t>SAINIK CYCLE MART</t>
  </si>
  <si>
    <t>SAKSHAM TECH AUTO</t>
  </si>
  <si>
    <t>SAKSHAM TECH AUTOMOBILES</t>
  </si>
  <si>
    <t>SAKSHAM TRADING COMPANY</t>
  </si>
  <si>
    <t>SAKTHI VIJAY INDUSTRIES</t>
  </si>
  <si>
    <t>SAKTHI VINAYAKA ENGINEERING WORKS</t>
  </si>
  <si>
    <t>SAME DEUTZ - FAHR INDIA (P) LTD.</t>
  </si>
  <si>
    <t>SAMEER ENGINEERING</t>
  </si>
  <si>
    <t>SAMRAT ELECTRIC VEHICLE</t>
  </si>
  <si>
    <t>SAN MOTORS LIMITED</t>
  </si>
  <si>
    <t>SANCHAL AUTOMOBILES PVT LTD</t>
  </si>
  <si>
    <t>SANT ENGG WORKS</t>
  </si>
  <si>
    <t>SARAVANA ENGINEERING WORKS</t>
  </si>
  <si>
    <t>SARAVANA TRAILER</t>
  </si>
  <si>
    <t>SAS MOTORS LTD.</t>
  </si>
  <si>
    <t>SATHI MOTORS ELECTRIC VEHICLE PVT LTD</t>
  </si>
  <si>
    <t>SAURYAA SHARYO CORPORATION</t>
  </si>
  <si>
    <t>SBTEK E MOTO PVT LTD</t>
  </si>
  <si>
    <t>SCOOTERS INDIA LTD</t>
  </si>
  <si>
    <t>SEALION AUTOMOBILE PVT LTD</t>
  </si>
  <si>
    <t>SEEKA E MOTORS PVT LTD</t>
  </si>
  <si>
    <t>SEN AND PANDIT VOLTAGE CONTROL PVT LTD</t>
  </si>
  <si>
    <t>SETH INDUSTRIAL CORPORATION</t>
  </si>
  <si>
    <t>SETHJI INDUSTRIES</t>
  </si>
  <si>
    <t>SF2 E VEHICLE PVT LTD</t>
  </si>
  <si>
    <t>SGL INDUSTRIES</t>
  </si>
  <si>
    <t>SGLLINE MOTORS PVT LTD</t>
  </si>
  <si>
    <t>SHAH AGRO ENGG WORKS</t>
  </si>
  <si>
    <t>SHAILENDRA AUTOS PVT LTD</t>
  </si>
  <si>
    <t>SHAKTI AUTO GREEN</t>
  </si>
  <si>
    <t>SHAKTIMAN AGRO INDUSTRIES</t>
  </si>
  <si>
    <t>SHALYA AUTO SALES PVT LTD</t>
  </si>
  <si>
    <t>SHAMMI ELECTRONICS</t>
  </si>
  <si>
    <t>SHEMA E- VEHCILE &amp; SOLAR PVT LTD</t>
  </si>
  <si>
    <t>SHERA ELECTRICAL AUTO PVT LTD</t>
  </si>
  <si>
    <t>SHIGAN EVOLTZ LTD</t>
  </si>
  <si>
    <t>SHINE METAL UDYOG PVT LTD</t>
  </si>
  <si>
    <t>SHINE METAL UDYOG PVT LTD (UNIT- II)</t>
  </si>
  <si>
    <t>SHINME ELECTRICAL VEHICLE PVT LTD</t>
  </si>
  <si>
    <t>SHIV ENTERPRISES</t>
  </si>
  <si>
    <t>SHIV OM INDIA</t>
  </si>
  <si>
    <t>SHIV TRAILOR INDUSTRIES</t>
  </si>
  <si>
    <t>SHIVA ENTERPRISES</t>
  </si>
  <si>
    <t>SHIVGANGA ECOGREEN LLP</t>
  </si>
  <si>
    <t>SHREE MARUTI NANDAN BUSINESSS (P) LTD</t>
  </si>
  <si>
    <t>SHREE SIRIDI SAI MINERAL &amp; EXPORTS PVT. LTD</t>
  </si>
  <si>
    <t>SHREYA ENGINEERS</t>
  </si>
  <si>
    <t>SHRI ABIRAMI TRAILERS</t>
  </si>
  <si>
    <t>SHRI ANGAMMAL ENGINEERING WORKS</t>
  </si>
  <si>
    <t>SHRI ARUPADAYAN TRAILERS</t>
  </si>
  <si>
    <t>SHRI BALAJI ENTERPRISES</t>
  </si>
  <si>
    <t>SHRI BANASHANKARI ENG WORKS</t>
  </si>
  <si>
    <t>SHRI BARSANA E-VEHICLES PVT LTD</t>
  </si>
  <si>
    <t>SHRI CHAMUNDI MOPEDS</t>
  </si>
  <si>
    <t>SHRI CHINNAMMAN ENGG. WORKS    </t>
  </si>
  <si>
    <t>SHRI DEVIKA TRAILERS</t>
  </si>
  <si>
    <t>SHRI GANAPATHY ENGG. WORKS</t>
  </si>
  <si>
    <t>SHRI GANESH TRAILER</t>
  </si>
  <si>
    <t>SHRI JYOTHI ENG. WORKS.</t>
  </si>
  <si>
    <t>SHRI KANAGA TRAILERS TANKAR</t>
  </si>
  <si>
    <t>SHRI KUMAR TRAILERS EQUIPMENTS</t>
  </si>
  <si>
    <t>SHRI LAKSHMI LATHE WORKS</t>
  </si>
  <si>
    <t>SHRI LAXMI ENGINEERING WORKS</t>
  </si>
  <si>
    <t>SHRI MODERN TRAILERS</t>
  </si>
  <si>
    <t>SHRI NAMO ELECTRIC AUTOMOTIVE</t>
  </si>
  <si>
    <t>SHRI RAM AUTO TECH PVT LTD</t>
  </si>
  <si>
    <t>SHRI RAM AUTOMOBILES</t>
  </si>
  <si>
    <t>SHRI RAM INDUSTRIES</t>
  </si>
  <si>
    <t>SHRI SAKTHI VINAYAKA TRAILERS</t>
  </si>
  <si>
    <t>SHRI SHIVSHANKAR ENTERPRISES</t>
  </si>
  <si>
    <t>SHRI VAIRAMUTHU TRAILERS</t>
  </si>
  <si>
    <t>SHRI VENKATESHWARA TRAILOR</t>
  </si>
  <si>
    <t>SHRIRAJ ELECTRIC VEHICLES</t>
  </si>
  <si>
    <t>SHRIRAM ASTRAL MOTOR CO</t>
  </si>
  <si>
    <t>SHUBHAM MANUFACTURER</t>
  </si>
  <si>
    <t>SIARSA ELECTRICALS PVT LTD</t>
  </si>
  <si>
    <t>SIDHI DURGA ENGINEERING</t>
  </si>
  <si>
    <t>SIMPLEENERGY PVT LTD</t>
  </si>
  <si>
    <t>SINDHU MOTORS</t>
  </si>
  <si>
    <t>SINGH AUTOMOBILES</t>
  </si>
  <si>
    <t>SINGHAL ENTERPRISES</t>
  </si>
  <si>
    <t>SIRF INDIA VEHICLES PVT LTD</t>
  </si>
  <si>
    <t>SITYOG ENGINEERING PVT LTD</t>
  </si>
  <si>
    <t>SIVA ENGINEERING WORKS</t>
  </si>
  <si>
    <t>SIVASAKTHI ENGINEERING WORKS</t>
  </si>
  <si>
    <t>SIWACH STEEL PVT LTD</t>
  </si>
  <si>
    <t>SIX SENSES AUTOMOTIVE PVT LTD</t>
  </si>
  <si>
    <t>SKS AUTOMOBILES (I) PVT LTD</t>
  </si>
  <si>
    <t>SKS TRADE INDIA PVT LTD</t>
  </si>
  <si>
    <t>SKYRIDE AUTOMOTIVE</t>
  </si>
  <si>
    <t>SKYY RIDER ELECTRIC PRIVATE LIMITED</t>
  </si>
  <si>
    <t>SMAP VEHICLES (IMPORTER: ELEGO MOTORS)</t>
  </si>
  <si>
    <t>SMART ELECTRO MOTORS</t>
  </si>
  <si>
    <t>SMARTOMATIC VEHICLES PRIVATE LIMITED</t>
  </si>
  <si>
    <t>SMITH MOTORS PVT LTD</t>
  </si>
  <si>
    <t>SML ISUZU LTD</t>
  </si>
  <si>
    <t>SN SOLAR ENERGY</t>
  </si>
  <si>
    <t>SOKUDO ELECTRIC INDIA PVT LTD</t>
  </si>
  <si>
    <t>SONI E VEHICLE PVT LTD</t>
  </si>
  <si>
    <t>SONI E VEHICLES PVT LTD</t>
  </si>
  <si>
    <t>SPEED AUTO TECH</t>
  </si>
  <si>
    <t>SPEEDWAYS ELECTRIC</t>
  </si>
  <si>
    <t>SPEEDWAYS ELECTRIC PVT LTD</t>
  </si>
  <si>
    <t>SPEEGO VEHICLES CO PVT LTD</t>
  </si>
  <si>
    <t>SPEEGO VEHICLES PVT. LTD</t>
  </si>
  <si>
    <t>SRD RENEWABLES</t>
  </si>
  <si>
    <t>SRI RAMA TRAILERS</t>
  </si>
  <si>
    <t>SRI SAI MARKETING</t>
  </si>
  <si>
    <t>SRIVARU MOTORS PVT LTD</t>
  </si>
  <si>
    <t>SSB INDISTRIES</t>
  </si>
  <si>
    <t>SSEV ENTERPRISES PRIVATE LIMITED</t>
  </si>
  <si>
    <t>SSV TECHNOLOGIES</t>
  </si>
  <si>
    <t>STANDARD CORPORATION INDIA LTD</t>
  </si>
  <si>
    <t>STAR BULL E MOTORS</t>
  </si>
  <si>
    <t>STAR IGLOBAL AUTOMOTIVE PVT LTD</t>
  </si>
  <si>
    <t>STAR INDUSTRIES</t>
  </si>
  <si>
    <t>SUCCESSPATH MARKETING PVT LTD</t>
  </si>
  <si>
    <t>SUDHRAJ ELECTRIC MOBILITY PVT. LTD.</t>
  </si>
  <si>
    <t>SUGANJI RARA ELECTRIC VEHICLE PVT LTD</t>
  </si>
  <si>
    <t>SUMEC CO LTD (IMPORTER: ROUTE &amp; MARS EV LLP)</t>
  </si>
  <si>
    <t>SUMFONL AUTO TRADERS PVT LTD</t>
  </si>
  <si>
    <t>SUN AUTO</t>
  </si>
  <si>
    <t>SUN INDUSTRIES</t>
  </si>
  <si>
    <t>SUN MOTORS</t>
  </si>
  <si>
    <t>SUN MOTORS PVT LTD</t>
  </si>
  <si>
    <t>SUN SHINE ENGINEERING WORKS</t>
  </si>
  <si>
    <t>SUNANDA GREENTECH PVT LTD</t>
  </si>
  <si>
    <t>SUNARIYA MOTORS PVT LTD</t>
  </si>
  <si>
    <t>SUNKU AUTO LTD</t>
  </si>
  <si>
    <t>SUNLECTRA AUTO</t>
  </si>
  <si>
    <t>SUNSHINE TECHNOLOGIES</t>
  </si>
  <si>
    <t>SUNULTRA POWER SOLUTIONS PVT LTD</t>
  </si>
  <si>
    <t>SUPER METRO INDUSTRIES</t>
  </si>
  <si>
    <t>SUPER POWER MOTORS</t>
  </si>
  <si>
    <t>SUPERECO AUTOMOTIVE CO</t>
  </si>
  <si>
    <t>SUPERECO AUTOMOTIVE CO LLP</t>
  </si>
  <si>
    <t>SUPERTECH EV LIMITED</t>
  </si>
  <si>
    <t>SUPREME SALES AGENCY</t>
  </si>
  <si>
    <t>SUPREME SMART POWER PVT LTD</t>
  </si>
  <si>
    <t>SUPROVA ENTERPRISE</t>
  </si>
  <si>
    <t>SURYA INTERNATIONAL</t>
  </si>
  <si>
    <t>SURYA TRAILORS AND TANKERS</t>
  </si>
  <si>
    <t>SUZUKI MOTORCYCLE INDIA PVT LTD</t>
  </si>
  <si>
    <t>SVS ENTERPRISES</t>
  </si>
  <si>
    <t>SWADESHI INDUSTRIES</t>
  </si>
  <si>
    <t>SWARNCHAKRA AUTOMOBILES PVT LTD</t>
  </si>
  <si>
    <t>SWASTIK</t>
  </si>
  <si>
    <t>SWITCH MOBILITY AUTOMOTIVE LTD</t>
  </si>
  <si>
    <t>SYNDICATE AUTO COMPONENTS</t>
  </si>
  <si>
    <t>T U K INDUSTRIES</t>
  </si>
  <si>
    <t>TAFE LIMITED</t>
  </si>
  <si>
    <t>TAMILNADU MOPEDS LTD</t>
  </si>
  <si>
    <t>TAO POWER PRIVATE LIMITED</t>
  </si>
  <si>
    <t>TARA MAA MACHINERY</t>
  </si>
  <si>
    <t>TATA MOTORS LTD</t>
  </si>
  <si>
    <t>TATA MOTORS PASSENGER VEHICLES LTD</t>
  </si>
  <si>
    <t>TATA PASSENGER ELECTRIC MOBILITY LTD</t>
  </si>
  <si>
    <t>TAURUS ELECTRIC VEHICLES</t>
  </si>
  <si>
    <t>TEJASGREEN AUTOMOTIVE PVT LTD</t>
  </si>
  <si>
    <t>TELSA INC</t>
  </si>
  <si>
    <t>TEREX CORPORATION</t>
  </si>
  <si>
    <t>TERRA MOTORS INDIA PVT LTD</t>
  </si>
  <si>
    <t>THE COMMERCIAL MOTORS LIMITED</t>
  </si>
  <si>
    <t>THE COMMERCIAL MOTORS PVT LTD</t>
  </si>
  <si>
    <t>THUKRAL ELECTRIC BIKES PVT LTD</t>
  </si>
  <si>
    <t>TI CLEAN MOBILITY PVT LTD</t>
  </si>
  <si>
    <t>TOP TEAM MACHINES PVT LTD</t>
  </si>
  <si>
    <t>TORK MOTORS PVT LTD</t>
  </si>
  <si>
    <t>TOYOTA KIRLOSKAR MOTOR PVT LTD</t>
  </si>
  <si>
    <t>TOYOTA MATERIAL HANDLING INDIA PVT LTD</t>
  </si>
  <si>
    <t>TRANSVAHAN TECHNOLOGIES INDIA PVT LTD</t>
  </si>
  <si>
    <t>TRINITY ELECTRIC VEHICLES PVT LTD</t>
  </si>
  <si>
    <t>TRISHIKA INDUSTRIES</t>
  </si>
  <si>
    <t>TRUPART AUTOMOTIVE INDIA PVT LTD</t>
  </si>
  <si>
    <t>TRUZ INDUSTRIES</t>
  </si>
  <si>
    <t>TSM ENGINEERING PVT LTD</t>
  </si>
  <si>
    <t>TSR TRADE COM</t>
  </si>
  <si>
    <t>TUFAN MOTORS PVT LTD</t>
  </si>
  <si>
    <t>TUNWAL E MOTORS PVT LTD</t>
  </si>
  <si>
    <t>TVS MOTOR COMPANY LTD</t>
  </si>
  <si>
    <t>TWASHTRE AUTOMOTIVE PVT LTD</t>
  </si>
  <si>
    <t>TWINKLE TRADCOM PVT LTD</t>
  </si>
  <si>
    <t>TWO FRIENDS AUTO ELECTRIC CO</t>
  </si>
  <si>
    <t>TYST DRIVE INDIA PVT LTD</t>
  </si>
  <si>
    <t>U P TELELINKS LTD</t>
  </si>
  <si>
    <t>U V MOTORS INDIA PVT LTD</t>
  </si>
  <si>
    <t>U.P. TELELINKS LIMITED</t>
  </si>
  <si>
    <t>ULTRAVIOLETTE AUTOMOTIVE PVT LTD</t>
  </si>
  <si>
    <t>UMA  AUTO INDUSTRIES PVT. LTD</t>
  </si>
  <si>
    <t>UMA AUTO INDUSTRIES PVT LTD</t>
  </si>
  <si>
    <t>UMA MOTORS</t>
  </si>
  <si>
    <t>UNIC</t>
  </si>
  <si>
    <t>UNICORN DIGITAL SYSTEMS PVT LTD</t>
  </si>
  <si>
    <t>UNIQUE AUTO ELECTRIC</t>
  </si>
  <si>
    <t>UNIQUE ENTERPRISES</t>
  </si>
  <si>
    <t>UNIQUE INTERNATIONAL</t>
  </si>
  <si>
    <t>UNITED AUTO TRACTORS LTD      </t>
  </si>
  <si>
    <t>UNITED TRANSMOVERS PVT LTD</t>
  </si>
  <si>
    <t>UNIVERSAL LTD</t>
  </si>
  <si>
    <t>URWASHI ENTERPRISES</t>
  </si>
  <si>
    <t>USHASONS AUTO COMPONENTS</t>
  </si>
  <si>
    <t>V V A ELECTRIC VEHICLE</t>
  </si>
  <si>
    <t>V.T. ENGINEERING</t>
  </si>
  <si>
    <t>V.T.ENGINEERING</t>
  </si>
  <si>
    <t>V.V.A.AUTO INDUSTRIES PVT.LTD</t>
  </si>
  <si>
    <t>VAHAK FUTURE SOLUTIONS LLP</t>
  </si>
  <si>
    <t>VANI ELECTRIC VEHICLES PVT LTD</t>
  </si>
  <si>
    <t>VARIOUS INNOVATIVE SYSTEMS HYBRID NANO UTILITIES</t>
  </si>
  <si>
    <t>VAUXHALL MOTORS LTD</t>
  </si>
  <si>
    <t>VE COMMERCIAL VEHICLES LTD</t>
  </si>
  <si>
    <t>VEANCO AUTOMOTIVES PVT LTD</t>
  </si>
  <si>
    <t>VEECTERO E VEHICLES LLP</t>
  </si>
  <si>
    <t>VEERA VAHANA UDYOG PRIVATE LIMITED</t>
  </si>
  <si>
    <t>VEHICLE FACTORY JABALPUR</t>
  </si>
  <si>
    <t>VENUS AUTO INDUSTRIES         </t>
  </si>
  <si>
    <t>VENUS AUTO WHEELS PVT LTD</t>
  </si>
  <si>
    <t>VGLAN BUILDCON PRIVATE LIMITED</t>
  </si>
  <si>
    <t>VGLAN BUILDCON PVT LTD</t>
  </si>
  <si>
    <t>VIBGYOR  VEHICLES LIMITED</t>
  </si>
  <si>
    <t>VICTOR AGRO INDUSTRIES</t>
  </si>
  <si>
    <t>VICTORIA E VEHICLES PVT. LTD</t>
  </si>
  <si>
    <t>VICTORY ELECTRIC INTERNATIONAL</t>
  </si>
  <si>
    <t>VIJAYA ELECTRIC AUTO PVT LTD</t>
  </si>
  <si>
    <t>VIJAYALAKSHIMI ENGG WORKS</t>
  </si>
  <si>
    <t>VIJAYS COOLMAX PRIVATE LIMITED</t>
  </si>
  <si>
    <t>VIJAYSHREE AUTOCOM LIMITED</t>
  </si>
  <si>
    <t>VIJEX STEEL FABRICATION</t>
  </si>
  <si>
    <t>VIMAL UNIVERSAL TRADE PVT LTD</t>
  </si>
  <si>
    <t>VINAYAK INDUSTRIES</t>
  </si>
  <si>
    <t>VINCI INDUSTRIAL CORPORATION</t>
  </si>
  <si>
    <t>VINTAGE VEHICLES</t>
  </si>
  <si>
    <t>VISHAL ENTERPRISES</t>
  </si>
  <si>
    <t>VISHALA E-VEHICLES INDUSTRIES PRIVATE LIMITED</t>
  </si>
  <si>
    <t>VISHWAKARMA GNG INDUSTRY</t>
  </si>
  <si>
    <t>VISHWARUP ENTERPRISE</t>
  </si>
  <si>
    <t>VISHWAS TRAILER WELD WORK</t>
  </si>
  <si>
    <t>VITAN JAGADA AUTOMOBILE PVT LTD</t>
  </si>
  <si>
    <t>VOLKSWAGEN INDIA PVT LTD</t>
  </si>
  <si>
    <t>VOLMAC ENGINEERING PVT LTD</t>
  </si>
  <si>
    <t>VOLTAIC INDUSTRIES PVT LTD</t>
  </si>
  <si>
    <t>VOLTAS LIMITED</t>
  </si>
  <si>
    <t>VOLVO AUTO INDIA PVT LTD</t>
  </si>
  <si>
    <t>VORC MOTORS PVT LTD</t>
  </si>
  <si>
    <t>VRINDA ENTERPRISES</t>
  </si>
  <si>
    <t>VSL INDUSTRIES</t>
  </si>
  <si>
    <t>VVA AUTO INDUSTRIES PVT LTD</t>
  </si>
  <si>
    <t>WARDWIZARD INNOVATIONS &amp; MOBILITY LIMITED</t>
  </si>
  <si>
    <t>WARIVO MOTOR INDIA PVT LTD</t>
  </si>
  <si>
    <t>WASAN E-MOBILITY SOLUTIONS PVT LTD</t>
  </si>
  <si>
    <t>WELCOME E RICKSHAW</t>
  </si>
  <si>
    <t>WELKIN HEALTHCARE PVT LTD</t>
  </si>
  <si>
    <t>WHITE CARBON MOTORS PVT LTD</t>
  </si>
  <si>
    <t>WIRTGEN INDIA PVT LTD</t>
  </si>
  <si>
    <t>WOX COOLERS PVT LTD</t>
  </si>
  <si>
    <t>WUXI DONGMA (IMPORTER: DYNAM PRECISION)</t>
  </si>
  <si>
    <t>WUXI JIYAYI (IMPORTER: IZANAU ELECTRIC LLP)</t>
  </si>
  <si>
    <t>WUXI MAYA (IMPORTER: DYNAMO ELECTRIC P. LTD.)</t>
  </si>
  <si>
    <t>WUXI NOOMA (IMPORTER: KKL HITECH EV)</t>
  </si>
  <si>
    <t>WUXI NOOMA (IMPORTER: SMARTNK  ELECTRIC VEHICLE)</t>
  </si>
  <si>
    <t>WUXI SAIGE (IMPORTER: DM GREEN ENERGY)</t>
  </si>
  <si>
    <t>WUXI SAIGE (IMPORTER: ELECTRO-TECH)</t>
  </si>
  <si>
    <t>WUXI SAIGE (IMPORTER: E-VISHWA ELECTOBIKE)</t>
  </si>
  <si>
    <t>WUXI SAIGE (IMPORTER: NGAGE IMPEX)</t>
  </si>
  <si>
    <t>WUXI SAIGE (IMPORTER: WARIVO MOTOR)</t>
  </si>
  <si>
    <t>WUXI SAIGE (IMPORTER: ZELIO AUTO PVT.LTD.)</t>
  </si>
  <si>
    <t>WUXI SAIGE ELECTRIC (IMPORTER: DELTA AUTOCORP LLP)</t>
  </si>
  <si>
    <t>WUXI SAIGE ELECTRIC (IMPORTER: GLORIOUS DIGITAL)</t>
  </si>
  <si>
    <t>WUXI SHENGBAO (IMPORTER:ELECTRIC ONE ENERGY)</t>
  </si>
  <si>
    <t>WUXI SHENGBAO (IMPORTER:SHEMA E-VEHICLE)</t>
  </si>
  <si>
    <t>WUXI TENGHUI (IMPORTER: BOHRE ELECTRIC)</t>
  </si>
  <si>
    <t>WUXI TENGHUI (IMPORTER: FEZORA INDIA)</t>
  </si>
  <si>
    <t>WUXI TENGHUI (IMPORTER: FLYCON MOTORS)</t>
  </si>
  <si>
    <t>WUXI TENGHUI (IMPORTER: FRANKLIN EV INDIA)</t>
  </si>
  <si>
    <t>WUXI TENGHUI (IMPORTER: HOP ELECTRIC MOBILITY)</t>
  </si>
  <si>
    <t>WUXI TENGHUI (IMPORTER: JAIDKA POWER)</t>
  </si>
  <si>
    <t>WUXI TENGHUI (IMPORTER: JOZHI SERVICES)</t>
  </si>
  <si>
    <t>WUXI TENGHUI (IMPORTER: RADHA MOBILITIES LLP)</t>
  </si>
  <si>
    <t>WUXI TENGHUI (IMPORTER: REMARK ELECTRIC)</t>
  </si>
  <si>
    <t>WUXI TENGHUI (IMPORTER: SEEKA E MOTORS)</t>
  </si>
  <si>
    <t>WUXI TENGHUI INTERNATIONAL (IMPORTER: FEZORA)</t>
  </si>
  <si>
    <t>WUXI TENGHUI INTERNATIONAL (IMPORTER: FRANKLIN EV)</t>
  </si>
  <si>
    <t>WUXI TOURWE (IMPORTER: GOREEN E-MOBILITY)</t>
  </si>
  <si>
    <t>XPLORE AUTOMOTIVE PVT LTD</t>
  </si>
  <si>
    <t>XXPLORE AUTOMATIVE PVT LTD</t>
  </si>
  <si>
    <t>XXPLORE AUTOMOTIVE PVT. LIMITED</t>
  </si>
  <si>
    <t>Y.C.ELECTRIC VEHICLE</t>
  </si>
  <si>
    <t>YAARI AUTOMOBILES PVT LTD</t>
  </si>
  <si>
    <t>YANGGUANG LINGMU (IMPORTER: DAWNGATE BUSINESS)</t>
  </si>
  <si>
    <t>YANGGUANG LINGMU (IMPORTER: DURGA FILTERS)</t>
  </si>
  <si>
    <t>YANGGUANG LINGMU (IMPORTER: ECOINDIA)</t>
  </si>
  <si>
    <t>YANGGUANG LINGMU (IMPORTER: FLYCON MOTORS)</t>
  </si>
  <si>
    <t>YANGGUANG LINGMU (IMPORTER: REMARK ELECTRIC)</t>
  </si>
  <si>
    <t>YANGGUANG LINGMU (IMPORTER: XWLS ELECTRIC)</t>
  </si>
  <si>
    <t>YC ELECTRIC VEHICLE</t>
  </si>
  <si>
    <t>YC ELECTRIC VEHICLE PVT LTD</t>
  </si>
  <si>
    <t>YEZDI MOTORS LTD</t>
  </si>
  <si>
    <t>YOUYAKU ELECTRIC (IMPORTER: HOUSTAN INNOVATION)</t>
  </si>
  <si>
    <t>YOUYAKU ELECTRIC (IMPORTER: SASDAL ENTERPRISES)</t>
  </si>
  <si>
    <t>YOUYAKU ELECTRIC (IMPORTER: SHEMA E-VEHICLE)</t>
  </si>
  <si>
    <t>YOUYAKU ELECTRIC (IMPORTER: SMOBILITY EV)</t>
  </si>
  <si>
    <t>YOUYAKU ELECTRIC (IMPORTER: TVISI ELECTRIC)</t>
  </si>
  <si>
    <t>YOUYAKU ELECTRIC (IMPORTER:IME VEHICLES PVT LTD)</t>
  </si>
  <si>
    <t>YOUYAKU ELECTRIC (IMPORTER:KRISHIKA EV INDIA)</t>
  </si>
  <si>
    <t>YOUYAKU ELECTRIC (IMPORTER:NEWTRON ELECTRIC)</t>
  </si>
  <si>
    <t>YOUYAKU ELECTRIC (IMPORTER:ONZO EV)</t>
  </si>
  <si>
    <t>YUVRAJ INTERNATIONAL</t>
  </si>
  <si>
    <t>ZAP (HK) (IMPORTER: IZANAU ELECTRIC)</t>
  </si>
  <si>
    <t>ZAP (IMPORTER:ELLYSIUM AUTOMOTIVES PVT LTD)</t>
  </si>
  <si>
    <t>ZBEE INDIA PVT LTD</t>
  </si>
  <si>
    <t>ZENIAK INNOVATION INDIA LTD</t>
  </si>
  <si>
    <t>ZENTHIUM EV PVT LTD</t>
  </si>
  <si>
    <t>ZEOPLUS AXIS INDIA PVT. LTD.</t>
  </si>
  <si>
    <t>ZERO 21 RENEWABLE ENERGY SOLUTIONS PVT LTD</t>
  </si>
  <si>
    <t>ZESAR MOTORS PVT LTD</t>
  </si>
  <si>
    <t>ZHEJIANG LUYUAN (IMPORTER: DYNAM EV TECH)</t>
  </si>
  <si>
    <t>ZHEJIANG TIANYING  (IMPORTER: NEWTRON ELECTRIC)</t>
  </si>
  <si>
    <t>ZHONGHUALONG (IMPORTER: POWORO PVT LTD)</t>
  </si>
  <si>
    <t>ZHONGXING (IMPORTER:GREENO AUTOMOBILE)</t>
  </si>
  <si>
    <t>ZOHAN TRADERS AND BIG METRO</t>
  </si>
  <si>
    <t>No. of Operational PCS</t>
  </si>
  <si>
    <t>Andaman &amp; Nicobar</t>
  </si>
  <si>
    <t>Arunachal Pradesh</t>
  </si>
  <si>
    <t>Assam</t>
  </si>
  <si>
    <t>Bihar</t>
  </si>
  <si>
    <t>Chandigarh</t>
  </si>
  <si>
    <t>Chhattisgarh</t>
  </si>
  <si>
    <t>D&amp;D and DNH</t>
  </si>
  <si>
    <t>Goa</t>
  </si>
  <si>
    <t>Himachal Pradesh</t>
  </si>
  <si>
    <t>Jammu and Kashmir</t>
  </si>
  <si>
    <t>Jharkhand</t>
  </si>
  <si>
    <t>Kerala</t>
  </si>
  <si>
    <t>Lakshadweep</t>
  </si>
  <si>
    <t>Manipur</t>
  </si>
  <si>
    <t>Meghalaya</t>
  </si>
  <si>
    <t>Nagaland</t>
  </si>
  <si>
    <t>Odisha</t>
  </si>
  <si>
    <t>Pondicherry</t>
  </si>
  <si>
    <t>Sikkim</t>
  </si>
  <si>
    <t>Tripura</t>
  </si>
  <si>
    <t>Uttar Pradesh</t>
  </si>
  <si>
    <t>Vehicle Class</t>
  </si>
  <si>
    <t>Total Registration</t>
  </si>
  <si>
    <t>2015</t>
  </si>
  <si>
    <t>2016</t>
  </si>
  <si>
    <t>2017</t>
  </si>
  <si>
    <t>2018</t>
  </si>
  <si>
    <t>2019</t>
  </si>
  <si>
    <t>2020</t>
  </si>
  <si>
    <t>2021</t>
  </si>
  <si>
    <t>2022</t>
  </si>
  <si>
    <t>2023</t>
  </si>
  <si>
    <t>2024</t>
  </si>
  <si>
    <t>VOLVO GROUP INDIA PVT LTD</t>
  </si>
  <si>
    <t>Row Labels</t>
  </si>
  <si>
    <t>Grand Total</t>
  </si>
  <si>
    <t>Sum of 2015</t>
  </si>
  <si>
    <t>Sum of 2016</t>
  </si>
  <si>
    <t>Sum of 2017</t>
  </si>
  <si>
    <t>Sum of 2018</t>
  </si>
  <si>
    <t>Sum of 2019</t>
  </si>
  <si>
    <t>Sum of 2020</t>
  </si>
  <si>
    <t>Sum of 2021</t>
  </si>
  <si>
    <t>Sum of 2022</t>
  </si>
  <si>
    <t>Sum of 2023</t>
  </si>
  <si>
    <t>Sum of 2024</t>
  </si>
  <si>
    <t>Total sales</t>
  </si>
  <si>
    <t>Sum of Total sales</t>
  </si>
  <si>
    <t>Vehicle Analysis</t>
  </si>
  <si>
    <t>Sum of Total Registration</t>
  </si>
  <si>
    <t>Infrastructure Analysis</t>
  </si>
  <si>
    <t>Sum of No. of Operational PCS</t>
  </si>
  <si>
    <t>EV Maker Analysis</t>
  </si>
  <si>
    <t>Count of EV Maker</t>
  </si>
  <si>
    <t>Grandtotal</t>
  </si>
  <si>
    <t xml:space="preserve"> </t>
  </si>
  <si>
    <t>Values</t>
  </si>
  <si>
    <t>INDIAN EV MARKET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</si>
</sst>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20"/>
      <color theme="0"/>
      <name val="Calibri"/>
      <family val="2"/>
      <scheme val="minor"/>
    </font>
    <font>
      <sz val="18"/>
      <color theme="0"/>
      <name val="Calibri"/>
      <family val="2"/>
      <scheme val="minor"/>
    </font>
    <font>
      <b/>
      <sz val="20"/>
      <color theme="1"/>
      <name val="Calibri"/>
      <family val="2"/>
      <scheme val="minor"/>
    </font>
    <font>
      <sz val="18"/>
      <color theme="1"/>
      <name val="Calibri"/>
      <family val="2"/>
      <scheme val="minor"/>
    </font>
    <font>
      <sz val="14"/>
      <color theme="1"/>
      <name val="Calibri"/>
      <family val="2"/>
      <scheme val="minor"/>
    </font>
    <font>
      <sz val="18"/>
      <color rgb="FF002060"/>
      <name val="Calibri"/>
      <family val="2"/>
      <scheme val="minor"/>
    </font>
    <font>
      <b/>
      <sz val="20"/>
      <color rgb="FF002060"/>
      <name val="Calibri"/>
      <family val="2"/>
      <scheme val="minor"/>
    </font>
    <font>
      <b/>
      <sz val="28"/>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002060"/>
        <bgColor indexed="64"/>
      </patternFill>
    </fill>
    <fill>
      <patternFill patternType="solid">
        <fgColor rgb="FFFFC000"/>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1">
    <xf numFmtId="0" fontId="0" fillId="0" borderId="0" xfId="0"/>
    <xf numFmtId="14" fontId="0" fillId="0" borderId="0" xfId="0" applyNumberFormat="1"/>
    <xf numFmtId="3" fontId="0" fillId="0" borderId="0" xfId="0" applyNumberFormat="1"/>
    <xf numFmtId="0" fontId="0" fillId="2" borderId="1" xfId="0" applyFont="1" applyFill="1" applyBorder="1"/>
    <xf numFmtId="0" fontId="0" fillId="0" borderId="1" xfId="0" applyFon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4" fillId="3" borderId="0" xfId="0" applyFont="1" applyFill="1" applyBorder="1" applyAlignment="1"/>
    <xf numFmtId="0" fontId="2" fillId="3" borderId="0" xfId="0" applyFont="1" applyFill="1" applyAlignment="1"/>
    <xf numFmtId="0" fontId="4" fillId="3" borderId="0" xfId="0" applyFont="1" applyFill="1" applyAlignment="1"/>
    <xf numFmtId="0" fontId="5" fillId="3" borderId="0" xfId="0" applyFont="1" applyFill="1" applyAlignment="1"/>
    <xf numFmtId="0" fontId="1" fillId="3" borderId="0" xfId="0" applyFont="1" applyFill="1" applyAlignment="1"/>
    <xf numFmtId="0" fontId="3" fillId="3" borderId="0" xfId="0" applyFont="1" applyFill="1" applyAlignment="1"/>
    <xf numFmtId="0" fontId="0" fillId="3" borderId="0" xfId="0" applyFill="1"/>
    <xf numFmtId="0" fontId="0" fillId="3" borderId="0" xfId="0" applyFill="1" applyAlignment="1">
      <alignment vertical="center"/>
    </xf>
    <xf numFmtId="0" fontId="0" fillId="3" borderId="0" xfId="0" applyFill="1" applyAlignment="1"/>
    <xf numFmtId="0" fontId="6" fillId="3" borderId="0" xfId="0" applyFont="1" applyFill="1" applyAlignment="1"/>
    <xf numFmtId="0" fontId="7" fillId="3" borderId="0" xfId="0" applyFont="1" applyFill="1" applyAlignment="1"/>
    <xf numFmtId="0" fontId="8" fillId="4" borderId="0" xfId="0" applyFont="1" applyFill="1" applyBorder="1" applyAlignment="1">
      <alignment horizontal="center" vertical="center"/>
    </xf>
  </cellXfs>
  <cellStyles count="1">
    <cellStyle name="Normal" xfId="0" builtinId="0"/>
  </cellStyles>
  <dxfs count="7">
    <dxf>
      <numFmt numFmtId="3" formatCode="#,##0"/>
    </dxf>
    <dxf>
      <numFmt numFmtId="0" formatCode="General"/>
    </dxf>
    <dxf>
      <numFmt numFmtId="19" formatCode="dd/mm/yyyy"/>
    </dxf>
    <dxf>
      <numFmt numFmtId="0" formatCode="General"/>
    </dxf>
    <dxf>
      <fill>
        <patternFill>
          <bgColor rgb="FF002060"/>
        </patternFill>
      </fill>
    </dxf>
    <dxf>
      <font>
        <b/>
        <color theme="1"/>
      </font>
      <fill>
        <patternFill>
          <bgColor rgb="FF002060"/>
        </patternFill>
      </fill>
      <border>
        <bottom style="thin">
          <color theme="8"/>
        </bottom>
        <vertical/>
        <horizontal/>
      </border>
    </dxf>
    <dxf>
      <font>
        <color theme="1"/>
      </font>
      <fill>
        <patternFill patternType="solid">
          <bgColor rgb="FF002060"/>
        </patternFill>
      </fill>
      <border>
        <left style="thin">
          <color theme="8"/>
        </left>
        <right style="thin">
          <color theme="8"/>
        </right>
        <top style="thin">
          <color theme="8"/>
        </top>
        <bottom style="thin">
          <color theme="8"/>
        </bottom>
        <vertical/>
        <horizontal/>
      </border>
    </dxf>
  </dxfs>
  <tableStyles count="4" defaultTableStyle="TableStyleMedium2" defaultPivotStyle="PivotStyleLight16">
    <tableStyle name="new" pivot="0" table="0" count="10">
      <tableStyleElement type="wholeTable" dxfId="6"/>
      <tableStyleElement type="headerRow" dxfId="5"/>
    </tableStyle>
    <tableStyle name="Slicer Style 1" pivot="0" table="0" count="1">
      <tableStyleElement type="wholeTable" dxfId="4"/>
    </tableStyle>
    <tableStyle name="Slicer Style 2" pivot="0" table="0" count="1"/>
    <tableStyle name="Slicer Style 3" pivot="0" table="0" count="3"/>
  </tableStyles>
  <extLst>
    <ext xmlns:x14="http://schemas.microsoft.com/office/spreadsheetml/2009/9/main" uri="{46F421CA-312F-682f-3DD2-61675219B42D}">
      <x14:dxfs count="12">
        <dxf>
          <fill>
            <patternFill>
              <bgColor theme="4" tint="0.59996337778862885"/>
            </patternFill>
          </fill>
        </dxf>
        <dxf>
          <fill>
            <patternFill>
              <bgColor rgb="FF002060"/>
            </patternFill>
          </fill>
        </dxf>
        <dxf>
          <fill>
            <patternFill>
              <bgColor theme="4" tint="0.39994506668294322"/>
            </patternFill>
          </fill>
        </dxf>
        <dxf>
          <fill>
            <patternFill>
              <bgColor rgb="FF00206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1"/>
        <x14:slicerStyle name="Slicer Style 2">
          <x14:slicerStyleElements>
            <x14:slicerStyleElement type="selectedItemWithData" dxfId="3"/>
          </x14:slicerStyleElements>
        </x14:slicerStyle>
        <x14:slicerStyle name="Slicer Style 3">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[India_EV_Market_Analysis___c.xlsx]Analysis!PivotTable8</c:name>
    <c:fmtId val="7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sz="1600"/>
              <a:t>EV Registrations by Vehicle Class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Analysis!$D$26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Analysis!$C$27:$C$37</c:f>
              <c:strCache>
                <c:ptCount val="10"/>
                <c:pt idx="0">
                  <c:v>TWO WHEELER(NT)</c:v>
                </c:pt>
                <c:pt idx="1">
                  <c:v>LIGHT MOTOR VEHICLE</c:v>
                </c:pt>
                <c:pt idx="2">
                  <c:v>THREE WHEELER(T)</c:v>
                </c:pt>
                <c:pt idx="3">
                  <c:v>LIGHT GOODS VEHICLE</c:v>
                </c:pt>
                <c:pt idx="4">
                  <c:v>HEAVY GOODS VEHICLE</c:v>
                </c:pt>
                <c:pt idx="5">
                  <c:v>LIGHT PASSENGER VEHICLE</c:v>
                </c:pt>
                <c:pt idx="6">
                  <c:v>OTHER THAN MENTIONED ABOVE</c:v>
                </c:pt>
                <c:pt idx="7">
                  <c:v>MEDIUM GOODS VEHICLE</c:v>
                </c:pt>
                <c:pt idx="8">
                  <c:v>HEAVY PASSENGER VEHICLE</c:v>
                </c:pt>
                <c:pt idx="9">
                  <c:v>THREE WHEELER(NT)</c:v>
                </c:pt>
              </c:strCache>
            </c:strRef>
          </c:cat>
          <c:val>
            <c:numRef>
              <c:f>Analysis!$D$27:$D$37</c:f>
              <c:numCache>
                <c:formatCode>General</c:formatCode>
                <c:ptCount val="10"/>
                <c:pt idx="0">
                  <c:v>274971646</c:v>
                </c:pt>
                <c:pt idx="1">
                  <c:v>65061773</c:v>
                </c:pt>
                <c:pt idx="2">
                  <c:v>10708473</c:v>
                </c:pt>
                <c:pt idx="3">
                  <c:v>10249591</c:v>
                </c:pt>
                <c:pt idx="4">
                  <c:v>5870865</c:v>
                </c:pt>
                <c:pt idx="5">
                  <c:v>4343410</c:v>
                </c:pt>
                <c:pt idx="6">
                  <c:v>1126398</c:v>
                </c:pt>
                <c:pt idx="7">
                  <c:v>875789</c:v>
                </c:pt>
                <c:pt idx="8">
                  <c:v>828189</c:v>
                </c:pt>
                <c:pt idx="9">
                  <c:v>679804</c:v>
                </c:pt>
              </c:numCache>
            </c:numRef>
          </c:val>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rgbClr val="00206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dk1">
          <a:lumMod val="15000"/>
          <a:lumOff val="85000"/>
        </a:schemeClr>
      </a:solidFill>
      <a:round/>
    </a:ln>
    <a:effectLst>
      <a:glow rad="228600">
        <a:schemeClr val="accent1">
          <a:satMod val="175000"/>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[India_EV_Market_Analysis___c.xlsx]Analysis!PivotTable5</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t>Total EV Maker by States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3"/>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4"/>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5"/>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s>
    <c:plotArea>
      <c:layout/>
      <c:barChart>
        <c:barDir val="col"/>
        <c:grouping val="clustered"/>
        <c:varyColors val="0"/>
        <c:ser>
          <c:idx val="0"/>
          <c:order val="0"/>
          <c:tx>
            <c:strRef>
              <c:f>Analysis!$B$92</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invertIfNegative val="0"/>
          <c:cat>
            <c:strRef>
              <c:f>Analysis!$A$93:$A$106</c:f>
              <c:strCache>
                <c:ptCount val="13"/>
                <c:pt idx="0">
                  <c:v>Maharashtra</c:v>
                </c:pt>
                <c:pt idx="1">
                  <c:v>Tamil Nadu</c:v>
                </c:pt>
                <c:pt idx="2">
                  <c:v>Karnataka</c:v>
                </c:pt>
                <c:pt idx="3">
                  <c:v>Haryana</c:v>
                </c:pt>
                <c:pt idx="4">
                  <c:v>Gujarat</c:v>
                </c:pt>
                <c:pt idx="5">
                  <c:v>Rajasthan</c:v>
                </c:pt>
                <c:pt idx="6">
                  <c:v>Delhi</c:v>
                </c:pt>
                <c:pt idx="7">
                  <c:v>Telangana</c:v>
                </c:pt>
                <c:pt idx="8">
                  <c:v>West Bengal</c:v>
                </c:pt>
                <c:pt idx="9">
                  <c:v>Uttarakhand</c:v>
                </c:pt>
                <c:pt idx="10">
                  <c:v>Punjab</c:v>
                </c:pt>
                <c:pt idx="11">
                  <c:v>Madhya Pradesh</c:v>
                </c:pt>
                <c:pt idx="12">
                  <c:v>Andhra Pradesh</c:v>
                </c:pt>
              </c:strCache>
            </c:strRef>
          </c:cat>
          <c:val>
            <c:numRef>
              <c:f>Analysis!$B$93:$B$106</c:f>
              <c:numCache>
                <c:formatCode>General</c:formatCode>
                <c:ptCount val="13"/>
                <c:pt idx="0">
                  <c:v>15</c:v>
                </c:pt>
                <c:pt idx="1">
                  <c:v>11</c:v>
                </c:pt>
                <c:pt idx="2">
                  <c:v>6</c:v>
                </c:pt>
                <c:pt idx="3">
                  <c:v>6</c:v>
                </c:pt>
                <c:pt idx="4">
                  <c:v>5</c:v>
                </c:pt>
                <c:pt idx="5">
                  <c:v>4</c:v>
                </c:pt>
                <c:pt idx="6">
                  <c:v>4</c:v>
                </c:pt>
                <c:pt idx="7">
                  <c:v>3</c:v>
                </c:pt>
                <c:pt idx="8">
                  <c:v>3</c:v>
                </c:pt>
                <c:pt idx="9">
                  <c:v>2</c:v>
                </c:pt>
                <c:pt idx="10">
                  <c:v>1</c:v>
                </c:pt>
                <c:pt idx="11">
                  <c:v>1</c:v>
                </c:pt>
                <c:pt idx="12">
                  <c:v>1</c:v>
                </c:pt>
              </c:numCache>
            </c:numRef>
          </c:val>
        </c:ser>
        <c:dLbls>
          <c:showLegendKey val="0"/>
          <c:showVal val="0"/>
          <c:showCatName val="0"/>
          <c:showSerName val="0"/>
          <c:showPercent val="0"/>
          <c:showBubbleSize val="0"/>
        </c:dLbls>
        <c:gapWidth val="219"/>
        <c:overlap val="-27"/>
        <c:axId val="775609648"/>
        <c:axId val="775610192"/>
      </c:barChart>
      <c:catAx>
        <c:axId val="775609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Ev Manufacturers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10192"/>
        <c:crosses val="autoZero"/>
        <c:auto val="1"/>
        <c:lblAlgn val="ctr"/>
        <c:lblOffset val="100"/>
        <c:noMultiLvlLbl val="0"/>
      </c:catAx>
      <c:valAx>
        <c:axId val="77561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no.</a:t>
                </a:r>
                <a:r>
                  <a:rPr lang="en-IN" baseline="0"/>
                  <a:t> </a:t>
                </a:r>
                <a:r>
                  <a:rPr lang="en-IN"/>
                  <a:t>of ev </a:t>
                </a:r>
                <a:r>
                  <a:rPr lang="en-IN" sz="1000" b="0" i="0" u="none" strike="noStrike" baseline="0">
                    <a:effectLst/>
                  </a:rPr>
                  <a:t>manufacture</a:t>
                </a:r>
                <a:endParaRPr lang="en-IN"/>
              </a:p>
            </c:rich>
          </c:tx>
          <c:layout/>
          <c:overlay val="0"/>
          <c:spPr>
            <a:noFill/>
            <a:ln w="0">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09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bg1"/>
      </a:solidFill>
      <a:round/>
    </a:ln>
    <a:effectLst>
      <a:glow rad="228600">
        <a:schemeClr val="accent1">
          <a:satMod val="175000"/>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[India_EV_Market_Analysis___c.xlsx]Analysis!PivotTable4</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t>Top</a:t>
            </a:r>
            <a:r>
              <a:rPr lang="en-IN" sz="1600" b="1" baseline="0"/>
              <a:t> 10 States by charging startions</a:t>
            </a:r>
            <a:endParaRPr lang="en-IN"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3"/>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4"/>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5"/>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rgbClr val="FFC000"/>
            </a:solidFill>
          </a:ln>
          <a:effectLst/>
        </c:spPr>
        <c:marker>
          <c:symbol val="none"/>
        </c:marker>
      </c:pivotFmt>
      <c:pivotFmt>
        <c:idx val="9"/>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rgbClr val="FFC000"/>
            </a:solidFill>
          </a:ln>
          <a:effectLst/>
        </c:spPr>
        <c:marker>
          <c:symbol val="none"/>
        </c:marker>
      </c:pivotFmt>
    </c:pivotFmts>
    <c:plotArea>
      <c:layout/>
      <c:barChart>
        <c:barDir val="col"/>
        <c:grouping val="clustered"/>
        <c:varyColors val="0"/>
        <c:ser>
          <c:idx val="0"/>
          <c:order val="0"/>
          <c:tx>
            <c:strRef>
              <c:f>Analysis!$C$49</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rgbClr val="FFC000"/>
              </a:solidFill>
            </a:ln>
            <a:effectLst/>
          </c:spPr>
          <c:invertIfNegative val="0"/>
          <c:cat>
            <c:strRef>
              <c:f>Analysis!$B$50:$B$84</c:f>
              <c:strCache>
                <c:ptCount val="34"/>
                <c:pt idx="0">
                  <c:v>Maharashtra</c:v>
                </c:pt>
                <c:pt idx="1">
                  <c:v>Delhi</c:v>
                </c:pt>
                <c:pt idx="2">
                  <c:v>Karnataka</c:v>
                </c:pt>
                <c:pt idx="3">
                  <c:v>Kerala</c:v>
                </c:pt>
                <c:pt idx="4">
                  <c:v>Tamil Nadu</c:v>
                </c:pt>
                <c:pt idx="5">
                  <c:v>Uttar Pradesh</c:v>
                </c:pt>
                <c:pt idx="6">
                  <c:v>Rajasthan</c:v>
                </c:pt>
                <c:pt idx="7">
                  <c:v>Telangana</c:v>
                </c:pt>
                <c:pt idx="8">
                  <c:v>Gujarat</c:v>
                </c:pt>
                <c:pt idx="9">
                  <c:v>Haryana</c:v>
                </c:pt>
                <c:pt idx="10">
                  <c:v>Madhya Pradesh</c:v>
                </c:pt>
                <c:pt idx="11">
                  <c:v>Chhattisgarh</c:v>
                </c:pt>
                <c:pt idx="12">
                  <c:v>Andhra Pradesh</c:v>
                </c:pt>
                <c:pt idx="13">
                  <c:v>West Bengal</c:v>
                </c:pt>
                <c:pt idx="14">
                  <c:v>Odisha</c:v>
                </c:pt>
                <c:pt idx="15">
                  <c:v>Punjab</c:v>
                </c:pt>
                <c:pt idx="16">
                  <c:v>Jharkhand</c:v>
                </c:pt>
                <c:pt idx="17">
                  <c:v>Bihar</c:v>
                </c:pt>
                <c:pt idx="18">
                  <c:v>Goa</c:v>
                </c:pt>
                <c:pt idx="19">
                  <c:v>Assam</c:v>
                </c:pt>
                <c:pt idx="20">
                  <c:v>Uttarakhand</c:v>
                </c:pt>
                <c:pt idx="21">
                  <c:v>Jammu and Kashmir</c:v>
                </c:pt>
                <c:pt idx="22">
                  <c:v>Himachal Pradesh</c:v>
                </c:pt>
                <c:pt idx="23">
                  <c:v>Pondicherry</c:v>
                </c:pt>
                <c:pt idx="24">
                  <c:v>Meghalaya</c:v>
                </c:pt>
                <c:pt idx="25">
                  <c:v>Tripura</c:v>
                </c:pt>
                <c:pt idx="26">
                  <c:v>Manipur</c:v>
                </c:pt>
                <c:pt idx="27">
                  <c:v>Chandigarh</c:v>
                </c:pt>
                <c:pt idx="28">
                  <c:v>Arunachal Pradesh</c:v>
                </c:pt>
                <c:pt idx="29">
                  <c:v>Nagaland</c:v>
                </c:pt>
                <c:pt idx="30">
                  <c:v>Andaman &amp; Nicobar</c:v>
                </c:pt>
                <c:pt idx="31">
                  <c:v>Sikkim</c:v>
                </c:pt>
                <c:pt idx="32">
                  <c:v>Lakshadweep</c:v>
                </c:pt>
                <c:pt idx="33">
                  <c:v>D&amp;D and DNH</c:v>
                </c:pt>
              </c:strCache>
            </c:strRef>
          </c:cat>
          <c:val>
            <c:numRef>
              <c:f>Analysis!$C$50:$C$84</c:f>
              <c:numCache>
                <c:formatCode>General</c:formatCode>
                <c:ptCount val="34"/>
                <c:pt idx="0">
                  <c:v>3079</c:v>
                </c:pt>
                <c:pt idx="1">
                  <c:v>1886</c:v>
                </c:pt>
                <c:pt idx="2">
                  <c:v>1041</c:v>
                </c:pt>
                <c:pt idx="3">
                  <c:v>852</c:v>
                </c:pt>
                <c:pt idx="4">
                  <c:v>643</c:v>
                </c:pt>
                <c:pt idx="5">
                  <c:v>582</c:v>
                </c:pt>
                <c:pt idx="6">
                  <c:v>500</c:v>
                </c:pt>
                <c:pt idx="7">
                  <c:v>481</c:v>
                </c:pt>
                <c:pt idx="8">
                  <c:v>476</c:v>
                </c:pt>
                <c:pt idx="9">
                  <c:v>377</c:v>
                </c:pt>
                <c:pt idx="10">
                  <c:v>341</c:v>
                </c:pt>
                <c:pt idx="11">
                  <c:v>327</c:v>
                </c:pt>
                <c:pt idx="12">
                  <c:v>327</c:v>
                </c:pt>
                <c:pt idx="13">
                  <c:v>318</c:v>
                </c:pt>
                <c:pt idx="14">
                  <c:v>198</c:v>
                </c:pt>
                <c:pt idx="15">
                  <c:v>158</c:v>
                </c:pt>
                <c:pt idx="16">
                  <c:v>135</c:v>
                </c:pt>
                <c:pt idx="17">
                  <c:v>124</c:v>
                </c:pt>
                <c:pt idx="18">
                  <c:v>113</c:v>
                </c:pt>
                <c:pt idx="19">
                  <c:v>86</c:v>
                </c:pt>
                <c:pt idx="20">
                  <c:v>76</c:v>
                </c:pt>
                <c:pt idx="21">
                  <c:v>47</c:v>
                </c:pt>
                <c:pt idx="22">
                  <c:v>44</c:v>
                </c:pt>
                <c:pt idx="23">
                  <c:v>23</c:v>
                </c:pt>
                <c:pt idx="24">
                  <c:v>21</c:v>
                </c:pt>
                <c:pt idx="25">
                  <c:v>18</c:v>
                </c:pt>
                <c:pt idx="26">
                  <c:v>17</c:v>
                </c:pt>
                <c:pt idx="27">
                  <c:v>12</c:v>
                </c:pt>
                <c:pt idx="28">
                  <c:v>9</c:v>
                </c:pt>
                <c:pt idx="29">
                  <c:v>6</c:v>
                </c:pt>
                <c:pt idx="30">
                  <c:v>3</c:v>
                </c:pt>
                <c:pt idx="31">
                  <c:v>2</c:v>
                </c:pt>
                <c:pt idx="32">
                  <c:v>1</c:v>
                </c:pt>
                <c:pt idx="33">
                  <c:v>1</c:v>
                </c:pt>
              </c:numCache>
            </c:numRef>
          </c:val>
        </c:ser>
        <c:dLbls>
          <c:showLegendKey val="0"/>
          <c:showVal val="0"/>
          <c:showCatName val="0"/>
          <c:showSerName val="0"/>
          <c:showPercent val="0"/>
          <c:showBubbleSize val="0"/>
        </c:dLbls>
        <c:gapWidth val="219"/>
        <c:axId val="775607472"/>
        <c:axId val="775606384"/>
      </c:barChart>
      <c:catAx>
        <c:axId val="77560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states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06384"/>
        <c:crosses val="autoZero"/>
        <c:auto val="1"/>
        <c:lblAlgn val="ctr"/>
        <c:lblOffset val="100"/>
        <c:noMultiLvlLbl val="0"/>
      </c:catAx>
      <c:valAx>
        <c:axId val="77560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Charging sttions</a:t>
                </a:r>
              </a:p>
            </c:rich>
          </c:tx>
          <c:layout/>
          <c:overlay val="0"/>
          <c:spPr>
            <a:noFill/>
            <a:ln w="0">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0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bg1"/>
      </a:solidFill>
      <a:round/>
    </a:ln>
    <a:effectLst>
      <a:glow rad="228600">
        <a:schemeClr val="accent1">
          <a:satMod val="175000"/>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[India_EV_Market_Analysis___c.xlsx]Analysis!PivotTable1</c:name>
    <c:fmtId val="10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t>Ev Sold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3"/>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4"/>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
        <c:idx val="5"/>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s>
    <c:plotArea>
      <c:layout/>
      <c:barChart>
        <c:barDir val="col"/>
        <c:grouping val="clustered"/>
        <c:varyColors val="0"/>
        <c:ser>
          <c:idx val="0"/>
          <c:order val="0"/>
          <c:tx>
            <c:strRef>
              <c:f>Analysis!$B$1</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invertIfNegative val="0"/>
          <c:cat>
            <c:strRef>
              <c:f>Analysis!$A$2:$A$6</c:f>
              <c:strCache>
                <c:ptCount val="4"/>
                <c:pt idx="0">
                  <c:v>2W</c:v>
                </c:pt>
                <c:pt idx="1">
                  <c:v>3W</c:v>
                </c:pt>
                <c:pt idx="2">
                  <c:v>LMV</c:v>
                </c:pt>
                <c:pt idx="3">
                  <c:v>MMV</c:v>
                </c:pt>
              </c:strCache>
            </c:strRef>
          </c:cat>
          <c:val>
            <c:numRef>
              <c:f>Analysis!$B$2:$B$6</c:f>
              <c:numCache>
                <c:formatCode>General</c:formatCode>
                <c:ptCount val="4"/>
                <c:pt idx="0">
                  <c:v>2279448</c:v>
                </c:pt>
                <c:pt idx="1">
                  <c:v>1934263</c:v>
                </c:pt>
                <c:pt idx="2">
                  <c:v>206388</c:v>
                </c:pt>
                <c:pt idx="3">
                  <c:v>804</c:v>
                </c:pt>
              </c:numCache>
            </c:numRef>
          </c:val>
        </c:ser>
        <c:dLbls>
          <c:showLegendKey val="0"/>
          <c:showVal val="0"/>
          <c:showCatName val="0"/>
          <c:showSerName val="0"/>
          <c:showPercent val="0"/>
          <c:showBubbleSize val="0"/>
        </c:dLbls>
        <c:gapWidth val="219"/>
        <c:overlap val="-27"/>
        <c:axId val="775605296"/>
        <c:axId val="775603120"/>
      </c:barChart>
      <c:catAx>
        <c:axId val="775605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Ev Manufacturers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03120"/>
        <c:crosses val="autoZero"/>
        <c:auto val="1"/>
        <c:lblAlgn val="ctr"/>
        <c:lblOffset val="100"/>
        <c:noMultiLvlLbl val="0"/>
      </c:catAx>
      <c:valAx>
        <c:axId val="775603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unit</a:t>
                </a:r>
                <a:r>
                  <a:rPr lang="en-IN" baseline="0"/>
                  <a:t>s sold</a:t>
                </a:r>
                <a:endParaRPr lang="en-IN"/>
              </a:p>
            </c:rich>
          </c:tx>
          <c:layout/>
          <c:overlay val="0"/>
          <c:spPr>
            <a:noFill/>
            <a:ln w="0">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05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bg1"/>
      </a:solidFill>
      <a:round/>
    </a:ln>
    <a:effectLst>
      <a:glow rad="228600">
        <a:schemeClr val="accent1">
          <a:satMod val="175000"/>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[India_EV_Market_Analysis___c.xlsx]Analysis!PivotTable2</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t>Top EV Manufacturers by unit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marker>
          <c:symbol val="none"/>
        </c:marker>
      </c:pivotFmt>
    </c:pivotFmts>
    <c:plotArea>
      <c:layout/>
      <c:barChart>
        <c:barDir val="col"/>
        <c:grouping val="clustered"/>
        <c:varyColors val="0"/>
        <c:ser>
          <c:idx val="0"/>
          <c:order val="0"/>
          <c:tx>
            <c:strRef>
              <c:f>Analysis!$K$1</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noFill/>
            </a:ln>
            <a:effectLst/>
          </c:spPr>
          <c:invertIfNegative val="0"/>
          <c:cat>
            <c:strRef>
              <c:f>Analysis!$J$2:$J$12</c:f>
              <c:strCache>
                <c:ptCount val="10"/>
                <c:pt idx="0">
                  <c:v>OLA ELECTRIC TECHNOLOGIES PVT LTD</c:v>
                </c:pt>
                <c:pt idx="1">
                  <c:v>TVS MOTOR COMPANY LTD</c:v>
                </c:pt>
                <c:pt idx="2">
                  <c:v>ATHER ENERGY PVT LTD</c:v>
                </c:pt>
                <c:pt idx="3">
                  <c:v>HERO ELECTRIC VEHICLES PVT. LTD</c:v>
                </c:pt>
                <c:pt idx="4">
                  <c:v>BAJAJ AUTO LTD</c:v>
                </c:pt>
                <c:pt idx="5">
                  <c:v>OKINAWA AUTOTECH PVT LTD</c:v>
                </c:pt>
                <c:pt idx="6">
                  <c:v>YC ELECTRIC VEHICLE</c:v>
                </c:pt>
                <c:pt idx="7">
                  <c:v>AMPERE VEHICLES PRIVATE LIMITED</c:v>
                </c:pt>
                <c:pt idx="8">
                  <c:v>SAERA ELECTRIC AUTO PVT LTD</c:v>
                </c:pt>
                <c:pt idx="9">
                  <c:v>MAHINDRA &amp; MAHINDRA LIMITED</c:v>
                </c:pt>
              </c:strCache>
            </c:strRef>
          </c:cat>
          <c:val>
            <c:numRef>
              <c:f>Analysis!$K$2:$K$12</c:f>
              <c:numCache>
                <c:formatCode>General</c:formatCode>
                <c:ptCount val="10"/>
                <c:pt idx="0">
                  <c:v>588266</c:v>
                </c:pt>
                <c:pt idx="1">
                  <c:v>318445</c:v>
                </c:pt>
                <c:pt idx="2">
                  <c:v>236387</c:v>
                </c:pt>
                <c:pt idx="3">
                  <c:v>201785</c:v>
                </c:pt>
                <c:pt idx="4">
                  <c:v>198498</c:v>
                </c:pt>
                <c:pt idx="5">
                  <c:v>196182</c:v>
                </c:pt>
                <c:pt idx="6">
                  <c:v>152951</c:v>
                </c:pt>
                <c:pt idx="7">
                  <c:v>141805</c:v>
                </c:pt>
                <c:pt idx="8">
                  <c:v>87481</c:v>
                </c:pt>
                <c:pt idx="9">
                  <c:v>84794</c:v>
                </c:pt>
              </c:numCache>
            </c:numRef>
          </c:val>
        </c:ser>
        <c:dLbls>
          <c:showLegendKey val="0"/>
          <c:showVal val="0"/>
          <c:showCatName val="0"/>
          <c:showSerName val="0"/>
          <c:showPercent val="0"/>
          <c:showBubbleSize val="0"/>
        </c:dLbls>
        <c:gapWidth val="219"/>
        <c:overlap val="-27"/>
        <c:axId val="775610736"/>
        <c:axId val="775611280"/>
      </c:barChart>
      <c:catAx>
        <c:axId val="77561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Ev Manufacturers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11280"/>
        <c:crosses val="autoZero"/>
        <c:auto val="1"/>
        <c:lblAlgn val="ctr"/>
        <c:lblOffset val="100"/>
        <c:noMultiLvlLbl val="0"/>
      </c:catAx>
      <c:valAx>
        <c:axId val="77561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Units Sold</a:t>
                </a:r>
              </a:p>
            </c:rich>
          </c:tx>
          <c:layout/>
          <c:overlay val="0"/>
          <c:spPr>
            <a:noFill/>
            <a:ln w="0">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10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bg1"/>
      </a:solidFill>
      <a:round/>
    </a:ln>
    <a:effectLst>
      <a:glow rad="228600">
        <a:schemeClr val="accent1">
          <a:satMod val="175000"/>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[India_EV_Market_Analysis___c.xlsx]Analysis!PivotTable20</c:name>
    <c:fmtId val="18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t>Ev units</a:t>
            </a:r>
            <a:r>
              <a:rPr lang="en-US" sz="1600" b="1" baseline="0"/>
              <a:t> Sold</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rgbClr val="FFC000"/>
            </a:solidFill>
            <a:round/>
          </a:ln>
          <a:effectLst/>
        </c:spPr>
        <c:marker>
          <c:symbol val="circle"/>
          <c:size val="5"/>
          <c:spPr>
            <a:solidFill>
              <a:srgbClr val="FFC000"/>
            </a:solidFill>
            <a:ln w="9525">
              <a:solidFill>
                <a:srgbClr val="FFC000"/>
              </a:solidFill>
            </a:ln>
            <a:effectLst/>
          </c:spPr>
        </c:marker>
      </c:pivotFmt>
    </c:pivotFmts>
    <c:plotArea>
      <c:layout/>
      <c:lineChart>
        <c:grouping val="stacked"/>
        <c:varyColors val="0"/>
        <c:ser>
          <c:idx val="0"/>
          <c:order val="0"/>
          <c:tx>
            <c:strRef>
              <c:f>Analysis!$E$1</c:f>
              <c:strCache>
                <c:ptCount val="1"/>
                <c:pt idx="0">
                  <c:v>Total</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strRef>
              <c:f>Analysis!$D$2:$D$11</c:f>
              <c:strCache>
                <c:ptCount val="10"/>
                <c:pt idx="0">
                  <c:v>Sum of 2015</c:v>
                </c:pt>
                <c:pt idx="1">
                  <c:v>Sum of 2016</c:v>
                </c:pt>
                <c:pt idx="2">
                  <c:v>Sum of 2017</c:v>
                </c:pt>
                <c:pt idx="3">
                  <c:v>Sum of 2018</c:v>
                </c:pt>
                <c:pt idx="4">
                  <c:v>Sum of 2019</c:v>
                </c:pt>
                <c:pt idx="5">
                  <c:v>Sum of 2020</c:v>
                </c:pt>
                <c:pt idx="6">
                  <c:v>Sum of 2021</c:v>
                </c:pt>
                <c:pt idx="7">
                  <c:v>Sum of 2022</c:v>
                </c:pt>
                <c:pt idx="8">
                  <c:v>Sum of 2023</c:v>
                </c:pt>
                <c:pt idx="9">
                  <c:v>Sum of 2024</c:v>
                </c:pt>
              </c:strCache>
            </c:strRef>
          </c:cat>
          <c:val>
            <c:numRef>
              <c:f>Analysis!$E$2:$E$11</c:f>
              <c:numCache>
                <c:formatCode>General</c:formatCode>
                <c:ptCount val="10"/>
                <c:pt idx="0">
                  <c:v>7752</c:v>
                </c:pt>
                <c:pt idx="1">
                  <c:v>49249</c:v>
                </c:pt>
                <c:pt idx="2">
                  <c:v>87019</c:v>
                </c:pt>
                <c:pt idx="3">
                  <c:v>129763</c:v>
                </c:pt>
                <c:pt idx="4">
                  <c:v>165786</c:v>
                </c:pt>
                <c:pt idx="5">
                  <c:v>123770</c:v>
                </c:pt>
                <c:pt idx="6">
                  <c:v>328854</c:v>
                </c:pt>
                <c:pt idx="7">
                  <c:v>1020533</c:v>
                </c:pt>
                <c:pt idx="8">
                  <c:v>1529234</c:v>
                </c:pt>
                <c:pt idx="9">
                  <c:v>978943</c:v>
                </c:pt>
              </c:numCache>
            </c:numRef>
          </c:val>
          <c:smooth val="0"/>
        </c:ser>
        <c:dLbls>
          <c:showLegendKey val="0"/>
          <c:showVal val="0"/>
          <c:showCatName val="0"/>
          <c:showSerName val="0"/>
          <c:showPercent val="0"/>
          <c:showBubbleSize val="0"/>
        </c:dLbls>
        <c:marker val="1"/>
        <c:smooth val="0"/>
        <c:axId val="775611824"/>
        <c:axId val="775617264"/>
      </c:lineChart>
      <c:catAx>
        <c:axId val="775611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Yeare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17264"/>
        <c:crosses val="autoZero"/>
        <c:auto val="1"/>
        <c:lblAlgn val="ctr"/>
        <c:lblOffset val="100"/>
        <c:noMultiLvlLbl val="0"/>
      </c:catAx>
      <c:valAx>
        <c:axId val="77561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unit Sold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611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chart>
  <c:spPr>
    <a:solidFill>
      <a:srgbClr val="002060"/>
    </a:solidFill>
    <a:ln w="9525" cap="flat" cmpd="sng" algn="ctr">
      <a:noFill/>
      <a:round/>
    </a:ln>
    <a:effectLst>
      <a:glow rad="228600">
        <a:schemeClr val="accent1">
          <a:satMod val="175000"/>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11</xdr:col>
      <xdr:colOff>418172</xdr:colOff>
      <xdr:row>11</xdr:row>
      <xdr:rowOff>163645</xdr:rowOff>
    </xdr:from>
    <xdr:ext cx="184730" cy="937629"/>
    <xdr:sp macro="" textlink="">
      <xdr:nvSpPr>
        <xdr:cNvPr id="4" name="Rectangle 3"/>
        <xdr:cNvSpPr/>
      </xdr:nvSpPr>
      <xdr:spPr>
        <a:xfrm>
          <a:off x="7123772" y="2175325"/>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0</xdr:colOff>
      <xdr:row>27</xdr:row>
      <xdr:rowOff>123825</xdr:rowOff>
    </xdr:from>
    <xdr:to>
      <xdr:col>7</xdr:col>
      <xdr:colOff>504825</xdr:colOff>
      <xdr:row>45</xdr:row>
      <xdr:rowOff>47625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581025</xdr:colOff>
      <xdr:row>27</xdr:row>
      <xdr:rowOff>114299</xdr:rowOff>
    </xdr:from>
    <xdr:to>
      <xdr:col>16</xdr:col>
      <xdr:colOff>409575</xdr:colOff>
      <xdr:row>45</xdr:row>
      <xdr:rowOff>47624</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485775</xdr:colOff>
      <xdr:row>27</xdr:row>
      <xdr:rowOff>95250</xdr:rowOff>
    </xdr:from>
    <xdr:to>
      <xdr:col>25</xdr:col>
      <xdr:colOff>47625</xdr:colOff>
      <xdr:row>45</xdr:row>
      <xdr:rowOff>57150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561975</xdr:colOff>
      <xdr:row>9</xdr:row>
      <xdr:rowOff>123825</xdr:rowOff>
    </xdr:from>
    <xdr:to>
      <xdr:col>16</xdr:col>
      <xdr:colOff>409575</xdr:colOff>
      <xdr:row>27</xdr:row>
      <xdr:rowOff>47625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342900</xdr:colOff>
      <xdr:row>2</xdr:row>
      <xdr:rowOff>33618</xdr:rowOff>
    </xdr:from>
    <xdr:to>
      <xdr:col>26</xdr:col>
      <xdr:colOff>114300</xdr:colOff>
      <xdr:row>9</xdr:row>
      <xdr:rowOff>85725</xdr:rowOff>
    </xdr:to>
    <xdr:sp macro="" textlink="$W$3">
      <xdr:nvSpPr>
        <xdr:cNvPr id="24" name="Rounded Rectangle 23"/>
        <xdr:cNvSpPr/>
      </xdr:nvSpPr>
      <xdr:spPr>
        <a:xfrm>
          <a:off x="13980459" y="392206"/>
          <a:ext cx="2942665" cy="1318372"/>
        </a:xfrm>
        <a:prstGeom prst="roundRect">
          <a:avLst/>
        </a:prstGeom>
        <a:solidFill>
          <a:srgbClr val="002060"/>
        </a:solidFill>
        <a:ln>
          <a:solidFill>
            <a:schemeClr val="bg1"/>
          </a:solidFill>
        </a:ln>
        <a:effectLst>
          <a:glow rad="228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marL="0" indent="0" algn="ctr"/>
          <a:fld id="{57987728-504D-47BB-AC45-AD41CDC498C3}" type="TxLink">
            <a:rPr lang="en-US" sz="2800" b="1" i="0" u="none" strike="noStrike">
              <a:solidFill>
                <a:schemeClr val="bg1"/>
              </a:solidFill>
              <a:latin typeface="Calibri"/>
              <a:ea typeface="Calibri"/>
              <a:cs typeface="Calibri"/>
            </a:rPr>
            <a:pPr marL="0" indent="0" algn="ctr"/>
            <a:t>12324</a:t>
          </a:fld>
          <a:endParaRPr lang="en-US" sz="2800" b="1" i="0" u="none" strike="noStrike">
            <a:solidFill>
              <a:schemeClr val="bg1"/>
            </a:solidFill>
            <a:latin typeface="Calibri"/>
            <a:ea typeface="Calibri"/>
            <a:cs typeface="Calibri"/>
          </a:endParaRPr>
        </a:p>
      </xdr:txBody>
    </xdr:sp>
    <xdr:clientData/>
  </xdr:twoCellAnchor>
  <xdr:twoCellAnchor>
    <xdr:from>
      <xdr:col>21</xdr:col>
      <xdr:colOff>403411</xdr:colOff>
      <xdr:row>2</xdr:row>
      <xdr:rowOff>99929</xdr:rowOff>
    </xdr:from>
    <xdr:to>
      <xdr:col>26</xdr:col>
      <xdr:colOff>11205</xdr:colOff>
      <xdr:row>4</xdr:row>
      <xdr:rowOff>118980</xdr:rowOff>
    </xdr:to>
    <xdr:sp macro="" textlink="">
      <xdr:nvSpPr>
        <xdr:cNvPr id="13" name="Rounded Rectangle 12"/>
        <xdr:cNvSpPr/>
      </xdr:nvSpPr>
      <xdr:spPr>
        <a:xfrm>
          <a:off x="14040970" y="458517"/>
          <a:ext cx="2779059" cy="377639"/>
        </a:xfrm>
        <a:prstGeom prst="roundRect">
          <a:avLst/>
        </a:prstGeom>
        <a:solidFill>
          <a:srgbClr val="002060"/>
        </a:solidFill>
        <a:ln>
          <a:solidFill>
            <a:srgbClr val="002060"/>
          </a:solidFill>
        </a:ln>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1400" b="1">
              <a:solidFill>
                <a:schemeClr val="bg1"/>
              </a:solidFill>
              <a:latin typeface="+mn-lt"/>
              <a:ea typeface="+mn-ea"/>
              <a:cs typeface="+mn-cs"/>
            </a:rPr>
            <a:t>Total Charging </a:t>
          </a:r>
          <a:r>
            <a:rPr lang="en-US" sz="1600" b="1">
              <a:solidFill>
                <a:schemeClr val="bg1"/>
              </a:solidFill>
              <a:latin typeface="+mn-lt"/>
              <a:ea typeface="+mn-ea"/>
              <a:cs typeface="+mn-cs"/>
            </a:rPr>
            <a:t>Station</a:t>
          </a:r>
          <a:r>
            <a:rPr lang="en-US" sz="1400" b="1">
              <a:solidFill>
                <a:schemeClr val="bg1"/>
              </a:solidFill>
              <a:latin typeface="+mn-lt"/>
              <a:ea typeface="+mn-ea"/>
              <a:cs typeface="+mn-cs"/>
            </a:rPr>
            <a:t> in India</a:t>
          </a:r>
        </a:p>
      </xdr:txBody>
    </xdr:sp>
    <xdr:clientData/>
  </xdr:twoCellAnchor>
  <xdr:twoCellAnchor>
    <xdr:from>
      <xdr:col>16</xdr:col>
      <xdr:colOff>431800</xdr:colOff>
      <xdr:row>2</xdr:row>
      <xdr:rowOff>6724</xdr:rowOff>
    </xdr:from>
    <xdr:to>
      <xdr:col>20</xdr:col>
      <xdr:colOff>673100</xdr:colOff>
      <xdr:row>9</xdr:row>
      <xdr:rowOff>28575</xdr:rowOff>
    </xdr:to>
    <xdr:sp macro="" textlink="Q3">
      <xdr:nvSpPr>
        <xdr:cNvPr id="26" name="Rounded Rectangle 25"/>
        <xdr:cNvSpPr/>
      </xdr:nvSpPr>
      <xdr:spPr>
        <a:xfrm>
          <a:off x="10782300" y="616324"/>
          <a:ext cx="2819400" cy="1279151"/>
        </a:xfrm>
        <a:prstGeom prst="roundRect">
          <a:avLst/>
        </a:prstGeom>
        <a:solidFill>
          <a:srgbClr val="002060"/>
        </a:solidFill>
        <a:ln>
          <a:solidFill>
            <a:schemeClr val="bg1"/>
          </a:solidFill>
        </a:ln>
        <a:effectLst>
          <a:glow rad="228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803E3E8B-E6B2-4813-8B4F-8EDE960896EA}" type="TxLink">
            <a:rPr lang="en-US" sz="1800" b="1" i="0" u="none" strike="noStrike">
              <a:solidFill>
                <a:schemeClr val="bg1"/>
              </a:solidFill>
              <a:latin typeface="Calibri"/>
              <a:ea typeface="Calibri"/>
              <a:cs typeface="Calibri"/>
            </a:rPr>
            <a:pPr algn="ctr"/>
            <a:t>OLA ELECTRIC TECHNOLOGIES PVT LTD</a:t>
          </a:fld>
          <a:endParaRPr lang="en-US" sz="1400" b="1">
            <a:solidFill>
              <a:schemeClr val="bg1"/>
            </a:solidFill>
          </a:endParaRPr>
        </a:p>
      </xdr:txBody>
    </xdr:sp>
    <xdr:clientData/>
  </xdr:twoCellAnchor>
  <xdr:twoCellAnchor>
    <xdr:from>
      <xdr:col>17</xdr:col>
      <xdr:colOff>102346</xdr:colOff>
      <xdr:row>2</xdr:row>
      <xdr:rowOff>57423</xdr:rowOff>
    </xdr:from>
    <xdr:to>
      <xdr:col>20</xdr:col>
      <xdr:colOff>455706</xdr:colOff>
      <xdr:row>4</xdr:row>
      <xdr:rowOff>63139</xdr:rowOff>
    </xdr:to>
    <xdr:sp macro="" textlink="">
      <xdr:nvSpPr>
        <xdr:cNvPr id="12" name="Rounded Rectangle 11"/>
        <xdr:cNvSpPr/>
      </xdr:nvSpPr>
      <xdr:spPr>
        <a:xfrm>
          <a:off x="11062446" y="667023"/>
          <a:ext cx="2321860" cy="361316"/>
        </a:xfrm>
        <a:prstGeom prst="roundRect">
          <a:avLst/>
        </a:prstGeom>
        <a:solidFill>
          <a:srgbClr val="002060"/>
        </a:solidFill>
        <a:ln>
          <a:solidFill>
            <a:srgbClr val="002060"/>
          </a:solidFill>
        </a:ln>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1400" b="1">
              <a:solidFill>
                <a:schemeClr val="bg1"/>
              </a:solidFill>
              <a:latin typeface="+mn-lt"/>
              <a:ea typeface="+mn-ea"/>
              <a:cs typeface="+mn-cs"/>
            </a:rPr>
            <a:t>Top Maker by </a:t>
          </a:r>
          <a:r>
            <a:rPr lang="en-US" sz="1600" b="1">
              <a:solidFill>
                <a:schemeClr val="bg1"/>
              </a:solidFill>
              <a:latin typeface="+mn-lt"/>
              <a:ea typeface="+mn-ea"/>
              <a:cs typeface="+mn-cs"/>
            </a:rPr>
            <a:t>Sales</a:t>
          </a:r>
          <a:endParaRPr lang="en-US" sz="1400" b="1">
            <a:solidFill>
              <a:schemeClr val="bg1"/>
            </a:solidFill>
            <a:latin typeface="+mn-lt"/>
            <a:ea typeface="+mn-ea"/>
            <a:cs typeface="+mn-cs"/>
          </a:endParaRPr>
        </a:p>
      </xdr:txBody>
    </xdr:sp>
    <xdr:clientData/>
  </xdr:twoCellAnchor>
  <xdr:twoCellAnchor>
    <xdr:from>
      <xdr:col>11</xdr:col>
      <xdr:colOff>263525</xdr:colOff>
      <xdr:row>2</xdr:row>
      <xdr:rowOff>22411</xdr:rowOff>
    </xdr:from>
    <xdr:to>
      <xdr:col>16</xdr:col>
      <xdr:colOff>34925</xdr:colOff>
      <xdr:row>9</xdr:row>
      <xdr:rowOff>76199</xdr:rowOff>
    </xdr:to>
    <xdr:sp macro="" textlink="J3">
      <xdr:nvSpPr>
        <xdr:cNvPr id="28" name="Rounded Rectangle 27"/>
        <xdr:cNvSpPr/>
      </xdr:nvSpPr>
      <xdr:spPr>
        <a:xfrm>
          <a:off x="7566025" y="632011"/>
          <a:ext cx="2819400" cy="1311088"/>
        </a:xfrm>
        <a:prstGeom prst="roundRect">
          <a:avLst/>
        </a:prstGeom>
        <a:solidFill>
          <a:srgbClr val="002060"/>
        </a:solidFill>
        <a:ln>
          <a:solidFill>
            <a:schemeClr val="bg1"/>
          </a:solidFill>
        </a:ln>
        <a:effectLst>
          <a:glow rad="228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marL="0" indent="0" algn="ctr"/>
          <a:fld id="{9E5D16B2-4808-4CE5-A321-893A37337CB6}" type="TxLink">
            <a:rPr lang="en-US" sz="2400" b="1" i="0" u="none" strike="noStrike">
              <a:solidFill>
                <a:schemeClr val="bg1"/>
              </a:solidFill>
              <a:latin typeface="Calibri"/>
              <a:ea typeface="Calibri"/>
              <a:cs typeface="Calibri"/>
            </a:rPr>
            <a:pPr marL="0" indent="0" algn="ctr"/>
            <a:t>TWO WHEELER(NT)</a:t>
          </a:fld>
          <a:endParaRPr lang="en-US" sz="2400" b="1" i="0" u="none" strike="noStrike">
            <a:solidFill>
              <a:schemeClr val="bg1"/>
            </a:solidFill>
            <a:latin typeface="Calibri"/>
            <a:ea typeface="Calibri"/>
            <a:cs typeface="Calibri"/>
          </a:endParaRPr>
        </a:p>
      </xdr:txBody>
    </xdr:sp>
    <xdr:clientData/>
  </xdr:twoCellAnchor>
  <xdr:twoCellAnchor>
    <xdr:from>
      <xdr:col>11</xdr:col>
      <xdr:colOff>343647</xdr:colOff>
      <xdr:row>2</xdr:row>
      <xdr:rowOff>82637</xdr:rowOff>
    </xdr:from>
    <xdr:to>
      <xdr:col>15</xdr:col>
      <xdr:colOff>533400</xdr:colOff>
      <xdr:row>6</xdr:row>
      <xdr:rowOff>101600</xdr:rowOff>
    </xdr:to>
    <xdr:sp macro="" textlink="">
      <xdr:nvSpPr>
        <xdr:cNvPr id="29" name="Rounded Rectangle 28"/>
        <xdr:cNvSpPr/>
      </xdr:nvSpPr>
      <xdr:spPr>
        <a:xfrm>
          <a:off x="7646147" y="692237"/>
          <a:ext cx="2628153" cy="742863"/>
        </a:xfrm>
        <a:prstGeom prst="roundRect">
          <a:avLst/>
        </a:prstGeom>
        <a:solidFill>
          <a:srgbClr val="002060"/>
        </a:solidFill>
        <a:ln>
          <a:solidFill>
            <a:srgbClr val="002060"/>
          </a:solidFill>
        </a:ln>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bg1"/>
              </a:solidFill>
              <a:effectLst/>
              <a:latin typeface="+mn-lt"/>
              <a:ea typeface="+mn-ea"/>
              <a:cs typeface="+mn-cs"/>
            </a:rPr>
            <a:t>Top Vehicle Class by</a:t>
          </a:r>
          <a:r>
            <a:rPr lang="en-IN" sz="1400" b="1" i="0" baseline="0">
              <a:solidFill>
                <a:schemeClr val="bg1"/>
              </a:solidFill>
              <a:effectLst/>
              <a:latin typeface="+mn-lt"/>
              <a:ea typeface="+mn-ea"/>
              <a:cs typeface="+mn-cs"/>
            </a:rPr>
            <a:t> </a:t>
          </a:r>
          <a:r>
            <a:rPr lang="en-IN" sz="1400" b="1" i="0">
              <a:solidFill>
                <a:schemeClr val="bg1"/>
              </a:solidFill>
              <a:effectLst/>
              <a:latin typeface="+mn-lt"/>
              <a:ea typeface="+mn-ea"/>
              <a:cs typeface="+mn-cs"/>
            </a:rPr>
            <a:t>Registration</a:t>
          </a:r>
          <a:endParaRPr lang="en-IN" sz="1400">
            <a:solidFill>
              <a:schemeClr val="bg1"/>
            </a:solidFill>
            <a:effectLst/>
          </a:endParaRPr>
        </a:p>
      </xdr:txBody>
    </xdr:sp>
    <xdr:clientData/>
  </xdr:twoCellAnchor>
  <xdr:twoCellAnchor>
    <xdr:from>
      <xdr:col>0</xdr:col>
      <xdr:colOff>692150</xdr:colOff>
      <xdr:row>2</xdr:row>
      <xdr:rowOff>22411</xdr:rowOff>
    </xdr:from>
    <xdr:to>
      <xdr:col>5</xdr:col>
      <xdr:colOff>177800</xdr:colOff>
      <xdr:row>9</xdr:row>
      <xdr:rowOff>76199</xdr:rowOff>
    </xdr:to>
    <xdr:sp macro="" textlink="C3">
      <xdr:nvSpPr>
        <xdr:cNvPr id="31" name="Rounded Rectangle 30"/>
        <xdr:cNvSpPr/>
      </xdr:nvSpPr>
      <xdr:spPr>
        <a:xfrm>
          <a:off x="692150" y="632011"/>
          <a:ext cx="3130550" cy="1311088"/>
        </a:xfrm>
        <a:prstGeom prst="roundRect">
          <a:avLst/>
        </a:prstGeom>
        <a:solidFill>
          <a:srgbClr val="002060"/>
        </a:solidFill>
        <a:ln>
          <a:solidFill>
            <a:schemeClr val="bg1"/>
          </a:solidFill>
        </a:ln>
        <a:effectLst>
          <a:glow rad="228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marL="0" indent="0" algn="ctr"/>
          <a:fld id="{316066E2-7555-4308-B877-4E1699CE12ED}" type="TxLink">
            <a:rPr lang="en-US" sz="2800" b="1" i="0" u="none" strike="noStrike">
              <a:solidFill>
                <a:schemeClr val="bg1"/>
              </a:solidFill>
              <a:latin typeface="Calibri"/>
              <a:ea typeface="Calibri"/>
              <a:cs typeface="Calibri"/>
            </a:rPr>
            <a:pPr marL="0" indent="0" algn="ctr"/>
            <a:t>4420903</a:t>
          </a:fld>
          <a:endParaRPr lang="en-US" sz="2800" b="1" i="0" u="none" strike="noStrike">
            <a:solidFill>
              <a:schemeClr val="bg1"/>
            </a:solidFill>
            <a:latin typeface="Calibri"/>
            <a:ea typeface="Calibri"/>
            <a:cs typeface="Calibri"/>
          </a:endParaRPr>
        </a:p>
      </xdr:txBody>
    </xdr:sp>
    <xdr:clientData/>
  </xdr:twoCellAnchor>
  <xdr:twoCellAnchor>
    <xdr:from>
      <xdr:col>0</xdr:col>
      <xdr:colOff>852393</xdr:colOff>
      <xdr:row>2</xdr:row>
      <xdr:rowOff>40432</xdr:rowOff>
    </xdr:from>
    <xdr:to>
      <xdr:col>5</xdr:col>
      <xdr:colOff>101600</xdr:colOff>
      <xdr:row>4</xdr:row>
      <xdr:rowOff>46148</xdr:rowOff>
    </xdr:to>
    <xdr:sp macro="" textlink="">
      <xdr:nvSpPr>
        <xdr:cNvPr id="32" name="Rounded Rectangle 31"/>
        <xdr:cNvSpPr/>
      </xdr:nvSpPr>
      <xdr:spPr>
        <a:xfrm>
          <a:off x="852393" y="650032"/>
          <a:ext cx="2894107" cy="361316"/>
        </a:xfrm>
        <a:prstGeom prst="roundRect">
          <a:avLst/>
        </a:prstGeom>
        <a:solidFill>
          <a:srgbClr val="002060"/>
        </a:solidFill>
        <a:ln>
          <a:solidFill>
            <a:srgbClr val="002060"/>
          </a:solidFill>
        </a:ln>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1800" b="1">
              <a:solidFill>
                <a:schemeClr val="bg1"/>
              </a:solidFill>
              <a:latin typeface="+mn-lt"/>
              <a:ea typeface="+mn-ea"/>
              <a:cs typeface="+mn-cs"/>
            </a:rPr>
            <a:t>Total EV </a:t>
          </a:r>
          <a:r>
            <a:rPr lang="en-US" sz="1800" b="1" u="none">
              <a:solidFill>
                <a:schemeClr val="bg1"/>
              </a:solidFill>
              <a:latin typeface="+mn-lt"/>
              <a:ea typeface="+mn-ea"/>
              <a:cs typeface="+mn-cs"/>
            </a:rPr>
            <a:t>Units</a:t>
          </a:r>
          <a:r>
            <a:rPr lang="en-US" sz="1800" b="1">
              <a:solidFill>
                <a:schemeClr val="bg1"/>
              </a:solidFill>
              <a:latin typeface="+mn-lt"/>
              <a:ea typeface="+mn-ea"/>
              <a:cs typeface="+mn-cs"/>
            </a:rPr>
            <a:t> Sold </a:t>
          </a:r>
          <a:endParaRPr lang="en-IN" sz="1800" b="1">
            <a:solidFill>
              <a:schemeClr val="bg1"/>
            </a:solidFill>
            <a:latin typeface="+mn-lt"/>
            <a:ea typeface="+mn-ea"/>
            <a:cs typeface="+mn-cs"/>
          </a:endParaRPr>
        </a:p>
      </xdr:txBody>
    </xdr:sp>
    <xdr:clientData/>
  </xdr:twoCellAnchor>
  <xdr:twoCellAnchor>
    <xdr:from>
      <xdr:col>16</xdr:col>
      <xdr:colOff>476595</xdr:colOff>
      <xdr:row>9</xdr:row>
      <xdr:rowOff>132318</xdr:rowOff>
    </xdr:from>
    <xdr:to>
      <xdr:col>25</xdr:col>
      <xdr:colOff>47970</xdr:colOff>
      <xdr:row>27</xdr:row>
      <xdr:rowOff>37068</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112619</xdr:colOff>
      <xdr:row>9</xdr:row>
      <xdr:rowOff>145677</xdr:rowOff>
    </xdr:from>
    <xdr:to>
      <xdr:col>27</xdr:col>
      <xdr:colOff>515472</xdr:colOff>
      <xdr:row>19</xdr:row>
      <xdr:rowOff>89646</xdr:rowOff>
    </xdr:to>
    <mc:AlternateContent xmlns:mc="http://schemas.openxmlformats.org/markup-compatibility/2006" xmlns:a14="http://schemas.microsoft.com/office/drawing/2010/main">
      <mc:Choice Requires="a14">
        <xdr:graphicFrame macro="">
          <xdr:nvGraphicFramePr>
            <xdr:cNvPr id="21" name="Cat"/>
            <xdr:cNvGraphicFramePr/>
          </xdr:nvGraphicFramePr>
          <xdr:xfrm>
            <a:off x="0" y="0"/>
            <a:ext cx="0" cy="0"/>
          </xdr:xfrm>
          <a:graphic>
            <a:graphicData uri="http://schemas.microsoft.com/office/drawing/2010/slicer">
              <sle:slicer xmlns:sle="http://schemas.microsoft.com/office/drawing/2010/slicer" name="Cat"/>
            </a:graphicData>
          </a:graphic>
        </xdr:graphicFrame>
      </mc:Choice>
      <mc:Fallback xmlns="">
        <xdr:sp macro="" textlink="">
          <xdr:nvSpPr>
            <xdr:cNvPr id="0" name=""/>
            <xdr:cNvSpPr>
              <a:spLocks noTextEdit="1"/>
            </xdr:cNvSpPr>
          </xdr:nvSpPr>
          <xdr:spPr>
            <a:xfrm>
              <a:off x="16394019" y="2012577"/>
              <a:ext cx="1622053" cy="1721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71886</xdr:colOff>
      <xdr:row>19</xdr:row>
      <xdr:rowOff>186266</xdr:rowOff>
    </xdr:from>
    <xdr:to>
      <xdr:col>27</xdr:col>
      <xdr:colOff>517585</xdr:colOff>
      <xdr:row>45</xdr:row>
      <xdr:rowOff>67734</xdr:rowOff>
    </xdr:to>
    <mc:AlternateContent xmlns:mc="http://schemas.openxmlformats.org/markup-compatibility/2006" xmlns:a14="http://schemas.microsoft.com/office/drawing/2010/main">
      <mc:Choice Requires="a14">
        <xdr:graphicFrame macro="">
          <xdr:nvGraphicFramePr>
            <xdr:cNvPr id="34"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353286" y="3831166"/>
              <a:ext cx="1664899" cy="4504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556372</xdr:colOff>
      <xdr:row>2</xdr:row>
      <xdr:rowOff>38099</xdr:rowOff>
    </xdr:from>
    <xdr:to>
      <xdr:col>10</xdr:col>
      <xdr:colOff>327772</xdr:colOff>
      <xdr:row>9</xdr:row>
      <xdr:rowOff>91887</xdr:rowOff>
    </xdr:to>
    <xdr:sp macro="" textlink="H3">
      <xdr:nvSpPr>
        <xdr:cNvPr id="36" name="Rounded Rectangle 35"/>
        <xdr:cNvSpPr/>
      </xdr:nvSpPr>
      <xdr:spPr>
        <a:xfrm>
          <a:off x="4201272" y="647699"/>
          <a:ext cx="2819400" cy="1311088"/>
        </a:xfrm>
        <a:prstGeom prst="roundRect">
          <a:avLst/>
        </a:prstGeom>
        <a:solidFill>
          <a:srgbClr val="002060"/>
        </a:solidFill>
        <a:ln>
          <a:solidFill>
            <a:schemeClr val="bg1"/>
          </a:solidFill>
        </a:ln>
        <a:effectLst>
          <a:glow rad="228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marL="0" indent="0" algn="ctr"/>
          <a:fld id="{D93FB35F-2F41-48DB-999F-EA9D7E0A6E0C}" type="TxLink">
            <a:rPr lang="en-US" sz="2800" b="1" i="0" u="none" strike="noStrike">
              <a:solidFill>
                <a:srgbClr val="FFFFFF"/>
              </a:solidFill>
              <a:latin typeface="Calibri"/>
              <a:ea typeface="Calibri"/>
              <a:cs typeface="Calibri"/>
            </a:rPr>
            <a:pPr marL="0" indent="0" algn="ctr"/>
            <a:t>2W</a:t>
          </a:fld>
          <a:endParaRPr lang="en-US" sz="1600" b="1" i="0" u="none" strike="noStrike">
            <a:latin typeface="Calibri"/>
            <a:ea typeface="Calibri"/>
            <a:cs typeface="Calibri"/>
          </a:endParaRPr>
        </a:p>
      </xdr:txBody>
    </xdr:sp>
    <xdr:clientData/>
  </xdr:twoCellAnchor>
  <xdr:twoCellAnchor>
    <xdr:from>
      <xdr:col>6</xdr:col>
      <xdr:colOff>26894</xdr:colOff>
      <xdr:row>2</xdr:row>
      <xdr:rowOff>98324</xdr:rowOff>
    </xdr:from>
    <xdr:to>
      <xdr:col>10</xdr:col>
      <xdr:colOff>150159</xdr:colOff>
      <xdr:row>6</xdr:row>
      <xdr:rowOff>38099</xdr:rowOff>
    </xdr:to>
    <xdr:sp macro="" textlink="">
      <xdr:nvSpPr>
        <xdr:cNvPr id="37" name="Rounded Rectangle 36"/>
        <xdr:cNvSpPr/>
      </xdr:nvSpPr>
      <xdr:spPr>
        <a:xfrm>
          <a:off x="4281394" y="707924"/>
          <a:ext cx="2561665" cy="663675"/>
        </a:xfrm>
        <a:prstGeom prst="roundRect">
          <a:avLst/>
        </a:prstGeom>
        <a:solidFill>
          <a:srgbClr val="002060"/>
        </a:solidFill>
        <a:ln>
          <a:solidFill>
            <a:srgbClr val="002060"/>
          </a:solidFill>
        </a:ln>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1600" b="1">
              <a:solidFill>
                <a:schemeClr val="bg1"/>
              </a:solidFill>
              <a:latin typeface="+mn-lt"/>
              <a:ea typeface="+mn-ea"/>
              <a:cs typeface="+mn-cs"/>
            </a:rPr>
            <a:t>Top Category by</a:t>
          </a:r>
        </a:p>
        <a:p>
          <a:pPr marL="0" indent="0" algn="ctr"/>
          <a:r>
            <a:rPr lang="en-US" sz="1600" b="1">
              <a:solidFill>
                <a:schemeClr val="bg1"/>
              </a:solidFill>
              <a:latin typeface="+mn-lt"/>
              <a:ea typeface="+mn-ea"/>
              <a:cs typeface="+mn-cs"/>
            </a:rPr>
            <a:t>Registration</a:t>
          </a:r>
          <a:endParaRPr lang="en-IN" sz="1600" b="1">
            <a:solidFill>
              <a:schemeClr val="bg1"/>
            </a:solidFill>
            <a:latin typeface="+mn-lt"/>
            <a:ea typeface="+mn-ea"/>
            <a:cs typeface="+mn-cs"/>
          </a:endParaRPr>
        </a:p>
      </xdr:txBody>
    </xdr:sp>
    <xdr:clientData/>
  </xdr:twoCellAnchor>
  <xdr:twoCellAnchor>
    <xdr:from>
      <xdr:col>0</xdr:col>
      <xdr:colOff>0</xdr:colOff>
      <xdr:row>9</xdr:row>
      <xdr:rowOff>127000</xdr:rowOff>
    </xdr:from>
    <xdr:to>
      <xdr:col>7</xdr:col>
      <xdr:colOff>457200</xdr:colOff>
      <xdr:row>27</xdr:row>
      <xdr:rowOff>25400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ardik" refreshedDate="46265.60772349537" createdVersion="5" refreshedVersion="5" minRefreshableVersion="3" recordCount="1386">
  <cacheSource type="worksheet">
    <worksheetSource name="Table9"/>
  </cacheSource>
  <cacheFields count="13">
    <cacheField name="Cat" numFmtId="0">
      <sharedItems count="4">
        <s v="3W"/>
        <s v="2W"/>
        <s v="LMV"/>
        <s v="MMV"/>
      </sharedItems>
    </cacheField>
    <cacheField name="Maker" numFmtId="0">
      <sharedItems count="1196">
        <s v="VOLVO GROUP INDIA PVT LTD"/>
        <s v="3EV INDUSTRIES PVT LTD"/>
        <s v="3GB TECHNOLOGY PVT LTD"/>
        <s v="3S INDUSTRIES PRIVATE LIMITED"/>
        <s v="A B EXCAVATORS &amp; EARTHMOVER LTD"/>
        <s v="A D AGRO WORKS"/>
        <s v="A K AUTTO ELECTRICAL"/>
        <s v="A K GUPTA &amp; CO."/>
        <s v="A P I MOTORS PVT LTD"/>
        <s v="A R T WELDING WORKS"/>
        <s v="A. K. AUTTO ELECTRICAL"/>
        <s v="A.J ENTERPRISES"/>
        <s v="A.K.AUTO ELECTRICAL"/>
        <s v="A.R. MOTOR"/>
        <s v="A.V.AUTOMOTIVES PVT LTD"/>
        <s v="A-1 SUREJA INDUSTRIES"/>
        <s v="A3T INCORPORTED"/>
        <s v="AADHYA ENTERPRISES"/>
        <s v="AADITYA EMOTORS INDIA PVT LTD"/>
        <s v="AADITYA GARBAGE PRODUCTS PVT LTD"/>
        <s v="AAHANA COMMERCE PVT LTD"/>
        <s v="AAKK AUTO PVT LTD"/>
        <s v="AARGEE ELECTRIC"/>
        <s v="AASHI INDIA AUTOMOBILES PVT LTD"/>
        <s v="ABHAVIS TECHNOLOGY (I) PVT LTD"/>
        <s v="ABIRAMI ENGINEERING WORKS"/>
        <s v="ABZO MOTORS PVT LTD"/>
        <s v="ACCRETION POWER AUTOS"/>
        <s v="ACTION CONSTRUCTION EQUIPMENT LTD."/>
        <s v="ADAPT MOTORS PVT LTD"/>
        <s v="ADIDEV TECHNOA PVT LTD"/>
        <s v="ADITYA AGRO INDUSTRIES"/>
        <s v="ADITYA ENTERPRISES"/>
        <s v="ADITYA SAI INDUSTRIES"/>
        <s v="ADM TECHNOLOGIES PVT. LTD."/>
        <s v="ADRIS ELECTRIC PVT LTD"/>
        <s v="AFTEK MOTORS INDIA PVT LTD"/>
        <s v="AGRASEN ENGINEERING WORKS"/>
        <s v="AGRAWAL RENEWABLE ENERGY PVT LTD"/>
        <s v="AGRO INDUSTRIES"/>
        <s v="AHITESHAM AGRO ENGINEERING"/>
        <s v="AJAY ENGINEERING AND AGRICULTURAL EQUIPMENT CO."/>
        <s v="AJAY MOTORS PRIVATE LIMITED"/>
        <s v="AKASH AGRO INDUSTRIES"/>
        <s v="AKASH TRAILOR"/>
        <s v="AKG INTERNATIONAL"/>
        <s v="AKSMD RECHARGEABLE VEHICLES PVT LTD"/>
        <s v="ALBEDO VISION PVT LTD"/>
        <s v="ALL TERRAIN CRANE"/>
        <s v="ALLENTTI MOTORS PVT LTD"/>
        <s v="ALLFINE INDUSTRIES PVT LTD"/>
        <s v="ALTIER ELECTRIC VEHICLES PVT LTD"/>
        <s v="ALTIGREEN PROPULSION LABS PVT LTD"/>
        <s v="ALTIUS EV TECH PVT LTD"/>
        <s v="ALTIUS TECHNOLOGIES"/>
        <s v="AL-ZAHOOR  CO"/>
        <s v="AMAN AUTOMOBILES"/>
        <s v="AMAN ELECTRIC VEHICLES"/>
        <s v="AMAR COACH BUILDERS"/>
        <s v="AMBIKA ENTERPRISES"/>
        <s v="AMBIKA INDUSTRIES"/>
        <s v="AMMAN ENGINEERING COMPANY"/>
        <s v="AMO MOBILITY SOLUTIONS PVT LTD"/>
        <s v="AMPERE VEHICLES PRIVATE LIMITED"/>
        <s v="AMPERE VEHICLES PVT LTD"/>
        <s v="AMW MOTORS LIMITED"/>
        <s v="ANBU TRAILERS"/>
        <s v="ANCHI MOTORCYCLE  (IMPORTER: ECOTRINITY AUTOMOBILE"/>
        <s v="ANCHI MOTORCYCLE (IMPORTER: EVNEXUS PVT. LTD.)"/>
        <s v="ANCHI MOTORCYCLE (IMPORTER: YED ELECTRIC)"/>
        <s v="ANCHI MOTORCYCLE (IMPORTER:HINDUSTAN EV MOTORS)"/>
        <s v="ANCHI MOTORCYCLE(IMPORTER:GREEN FUEL ALTERNATIVES)"/>
        <s v="ANJALI AUTO COMPONENTS"/>
        <s v="ANJALI ENTERPRISES"/>
        <s v="ANJALI TRADERS"/>
        <s v="ANKUSH AUTO DEALS"/>
        <s v="ANOOP CYLINDERS PVT LTD"/>
        <s v="ANTONY TRAILORS"/>
        <s v="APARNA AGRICO"/>
        <s v="APARNA INDUSTRIES"/>
        <s v="API MOTORS PVT LTD"/>
        <s v="APM AUTO SALES"/>
        <s v="APSARA ENTERPRISE"/>
        <s v="ARASAN AND CO."/>
        <s v="ARBUDA TRAILER"/>
        <s v="ARCHIT ENTERPRISES"/>
        <s v="ARD EXIM"/>
        <s v="ARIHANT ENTERPRISE"/>
        <s v="ARIHANT ENTERPRISES"/>
        <s v="ARMAN GREEN VEHICLES PVT LTD"/>
        <s v="ARNA ELECTRIC AUTO PVT LTD"/>
        <s v="ARROW AUTOMOTIVE"/>
        <s v="ASAV AUTOMOTIVE PVT LTD"/>
        <s v="ASHA IMPEX"/>
        <s v="ASHLESHA POWER CONTROLS PVT LTD"/>
        <s v="ASHMA-MOTORS PVT LTD"/>
        <s v="ASHOK LEYLAND LTD"/>
        <s v="ASHWA ELECTRIC"/>
        <s v="ASIA BODY BUILDERS &amp; MANUFACTURERS"/>
        <s v="ASTER AUTOMOTIVE PVT LTD"/>
        <s v="ATHER ENERGY PVT LTD"/>
        <s v="ATLAS COPCO INDIA LTD"/>
        <s v="ATOMEX E-MOTORS INDIA PVT LTD"/>
        <s v="ATR TECHNOSALES PRIVATE LIMITED"/>
        <s v="ATTOLENT AUTO GROUP PVT LTD"/>
        <s v="ATTOLENT AUTOGROUP PVT LTD"/>
        <s v="ATUL AUTO LTD"/>
        <s v="ATUL GREENTECH PRIVATE LIMITED"/>
        <s v="ATUMOBILE PVT LTD"/>
        <s v="ATUT SANGAM"/>
        <s v="AUDI AG"/>
        <s v="AUTOCROLA INDIA LTD"/>
        <s v="AUTOECO GREEN ENERGY PVT LTD"/>
        <s v="AUTOHAUS PRIVATE LIMITED"/>
        <s v="AUTOLITE (INDIA) LIMITED"/>
        <s v="AVL ELECTRIC VEHICLES PVT LTD"/>
        <s v="AVON CYCLE LTD INDIA"/>
        <s v="AVON CYCLES LTD"/>
        <s v="AXCEED INDUSTRIES (OPC) PVT LTD"/>
        <s v="AYAAN ELECTRONIC PVT LTD"/>
        <s v="B24 ROKET EV"/>
        <s v="BABA E RICKSHAW &amp; C BATTERIES"/>
        <s v="BABA E-VEHICLES"/>
        <s v="BAFNA AUTO CARS I PVT.LTD."/>
        <s v="BAGHWAN RIKSHAW UDYOG"/>
        <s v="BAILI MOTOR (IMPORTER:A B MOTOSS EV PVT LTD)"/>
        <s v="BAJAJ AUTO LTD"/>
        <s v="BAJAJ IMPLEMENTS PVT LTD"/>
        <s v="BAJAJ IMPLEMENTS PVT. LTD"/>
        <s v="BAJAJ TEMPO LIMITED"/>
        <s v="BAL GOPAL WHEELS PVT LTD"/>
        <s v="BALAJI TRADING COMPANY"/>
        <s v="BALAMURUGAN ENGINEERING WORKS"/>
        <s v="BALAN ENGINEERING PVT LTD"/>
        <s v="BALI AUTO INDUSTRIES"/>
        <s v="BASUDEB ENGINEERING, CUTTACK"/>
        <s v="BATTERY RICKSHAW SANGH"/>
        <s v="BATTRE ELECTRIC MOBLITY PVT LTD"/>
        <s v="BAXY LTD"/>
        <s v="BENGAL MOTORS"/>
        <s v="BENLING INDIA ENERGY AND TECHNOLOGY PVT LTD"/>
        <s v="BENTINCK INDUSTRIES PVT. LTD."/>
        <s v="BENTLEY MOTORS LIMITED"/>
        <s v="BEST WAY AGENCIES PVT LTD"/>
        <s v="BESTWAY AGENCIES PVT LTD"/>
        <s v="BESTWAY BANARASH"/>
        <s v="BGAUSS AUTO PRIVATE LIMITED"/>
        <s v="BHADAURIA ENTERPRISES"/>
        <s v="BHARAT MANUFACTURING &amp; ASSEMBLING E RIKSHA"/>
        <s v="BHAVE ELECTRIC VEHICLES PVT LTD"/>
        <s v="BHM INDUSTRIES"/>
        <s v="BIG BULL TRADER PVT LTD"/>
        <s v="BIJNOR ENTERPRISES"/>
        <s v="BILAL TRAILORS"/>
        <s v="BLIX CYCLES AND E-VEHICLES PVT LTD"/>
        <s v="BMW INDIA PVT LTD"/>
        <s v="BOOMA INNOVATIVE TRANSPORT SULUTIONS PVT LTD"/>
        <s v="BOUNCE ELECTRIC 1 PVT LTD"/>
        <s v="BRIGHT AUTOZONE PVT LTD"/>
        <s v="BRIGHT METAL WORKS"/>
        <s v="BSA MOTORS"/>
        <s v="BSERAIL ENGINEERING PVT LTD"/>
        <s v="BULL MACHINES PVT LTD"/>
        <s v="BYD AUTO"/>
        <s v="BYD INDIA PRIVATE LIMITED"/>
        <s v="C M OVERSEAS"/>
        <s v="CAPARO AUTOTECH LIMITED"/>
        <s v="CAPARO AUTOTECH LTD"/>
        <s v="CAPCO INDUSTRIES PVT LTD"/>
        <s v="CARREE YUNUS VEHICLE PVT LTD"/>
        <s v="CART INDIA"/>
        <s v="CASE EQUIPMENT PRIVATE LTD"/>
        <s v="CATERPILLAR INDIA PRIVATE LIMITED"/>
        <s v="CEEON INDIA"/>
        <s v="CELLETRON MOTOR WORKS"/>
        <s v="CENTURY MOTORS PVT LTD"/>
        <s v="CHAMPION POLY PLAST"/>
        <s v="CHANDAKE-AUTOMOBILES LLP"/>
        <s v="CHANDANA CORPORATION"/>
        <s v="CHANGZHOU YEFEND VEHICLE CO"/>
        <s v="CHARUVIKRAM AUTOMOBILE PVT LTD"/>
        <s v="CHATELEC VEHICLES INDIA LTD"/>
        <s v="CHAUHAN AUTO INDUSTRIES"/>
        <s v="CHEHAK BATTERIES"/>
        <s v="CHETAK TECHNOLOGY LIMITED"/>
        <s v="CHEVROLET SALES INDIA PVT LTD"/>
        <s v="CHINA HAOCHEN (IMPORTER: ADMS MARKETING)"/>
        <s v="CHINA HAOCHEN (IMPORTER:SLSR ELECTRO)"/>
        <s v="CHIRAG ENTERPRISES"/>
        <s v="CHONGQING CHARMING (IMPORTER: AYAAN ELECTRONICS)."/>
        <s v="CHONGQING YU AN GROUP"/>
        <s v="CITADEL ENTERPRISES(OPC) PVT LTD"/>
        <s v="CITYGREEN AUTO &amp; PETRO CHEMICALS (P) LTD"/>
        <s v="CLAAS INDIA P LTD"/>
        <s v="CLENERGY INNOVATIONS PVT LTD"/>
        <s v="CLH GASEOUS FUEL APPL PVT LTD"/>
        <s v="CNH INDUSTRIAL (INDIA) PVT LTD"/>
        <s v="CONTINENTAL ENGINES PVT LTD"/>
        <s v="CREATIVE ENGINEERINGS"/>
        <s v="CYRUS AUTO INDUSTRIES PVT LTD"/>
        <s v="D S INDUSTRIES"/>
        <s v="D S R AUTOMOTIVES (INDIA) PVT LTD"/>
        <s v="D.K. MOTORS"/>
        <s v="DAEWOO MOTORS INDIA LTD"/>
        <s v="DAIMLER AG"/>
        <s v="DAIMLER INDIA COMMERCIAL VEHICLES PVT. LTD"/>
        <s v="DAKSH INDUSTRIES"/>
        <s v="DALIAN FORKLIFT CO."/>
        <s v="DAO EVTECH PRIVATE LIMITED"/>
        <s v="DASHMESH MECH WORKS PVT LTD"/>
        <s v="DASHMESH TRADERS"/>
        <s v="DAVE EXIM PVT LTD"/>
        <s v="DD AUTO PVT LTD"/>
        <s v="DE EUSI MOTORS PVT LTD."/>
        <s v="DEEP DRAWN TECHNOLOGIES"/>
        <s v="DEEPTI SMART MOBILITY PVT LTD"/>
        <s v="DELHI AUTOMOBILES LTD"/>
        <s v="DELTA AUTOCORP LLP"/>
        <s v="DELTEK ENTERPRISES PVT LTD"/>
        <s v="DESMOTO ELECTRICS PVT LTD"/>
        <s v="DEV MOTORS"/>
        <s v="DEVAM ELECTRIC VEH P L"/>
        <s v="DEVAM ELECTRIC VEHICLES PVT LTD"/>
        <s v="DHAR IN PVT LTD"/>
        <s v="DHAR INTERNATIONAL"/>
        <s v="DHARMAND TRAILERS"/>
        <s v="DHRITI ENTERPRISES"/>
        <s v="DIAMOND E VEHICLES"/>
        <s v="DIAMOND ENGG,CTC"/>
        <s v="DILIGENT MOBILITY SERVICE PVT LTD"/>
        <s v="DILIP CHHABRIA DESIGN PVT LTD"/>
        <s v="DILLI ELECTRIC AUTO PVT LTD"/>
        <s v="DIVANSHU AUTOMOBILES LIMITED"/>
        <s v="DIVANSU AUTOMOBILES LTD"/>
        <s v="DIVYA AUTOMOBILES"/>
        <s v="DIVYA ENTERPRISES"/>
        <s v="DIVYA INDUSTRIES"/>
        <s v="DIWA GREEN TECHNOLOGY PVT LTD"/>
        <s v="DONGMA VEHICLE (IMPORTER: MERCURY METALS)"/>
        <s v="DSF INDUSTRIES PVT LTD"/>
        <s v="DSK MOTOWHEELS PVT LTD."/>
        <s v="DSR EV MOBILITY PVT LTD"/>
        <s v="DUCATI INDIA PVT LTD"/>
        <s v="DUCATI MOTOR HOLDING S.P.A"/>
        <s v="DUKE AUTO INDIA"/>
        <s v="DUKEMOTO MOTORS PVT LTD"/>
        <s v="DURABLE FLANGES PVT LTD"/>
        <s v="DURGA FILTERS PVT LTD"/>
        <s v="DYNAVOLT TECHNOLOGY INDIA LTD"/>
        <s v="DYS IMPEX PRIVATE LIMITED"/>
        <s v="DYS IMPEX PVT LTD"/>
        <s v="E ROYCE MOTORS INDIA PVT LTD"/>
        <s v="EAGLE AUTO PEARL PVT"/>
        <s v="E-ASHWA AUTOMOTIVE (HS 2W) PVT LTD"/>
        <s v="E-ASHWA AUTOMOTIVE PVT LTD"/>
        <s v="EBUZZ MOBILITY LLP"/>
        <s v="ECO DYNAAMIC EQUIPMENTS"/>
        <s v="ECO FUEL SYSTEMS (I) PVT LTD"/>
        <s v="ECO SMART VEHICLES PVT LTD"/>
        <s v="ECOBIT INTERNATIONAL(IMPORTER: JHEV MOTORS)"/>
        <s v="ECO-FRIENDLY ELECTRIC VEHICLE PVT LTD"/>
        <s v="ECOYAN ELECTRIC MOTOR VEHICLES PVT LTD"/>
        <s v="ECOYAN ELECTRIC MOTORS VEHICLE PVT LTD"/>
        <s v="EDDY CURRENT CONTROLS (I) LTD"/>
        <s v="EDMRC MANNSCHAFT LLP"/>
        <s v="EEVEE ENGINEERING PVT LTD"/>
        <s v="EFEV CHARGING SOLUTION PVT LTD"/>
        <s v="E-GURU AUTO ENERGY"/>
        <s v="EICHER MOTORS LTD"/>
        <s v="EICHER POLARIS PVT. LTD."/>
        <s v="EICHER TRACTORS"/>
        <s v="EKO VEHICLE PRIVATE LIMITED"/>
        <s v="ELECTRA INTERNATIONAL"/>
        <s v="ELECTRECA VEHICLES"/>
        <s v="ELECTRIC ALLIANCE(IMPORTER: ELLYSIUM AUTOMOTIVES)"/>
        <s v="ELECTROTECH TRANSMISSION PVT LTD"/>
        <s v="ELECTROTHERM (I) LIMITED"/>
        <s v="ELECTROTHERM (INDIA) LIMITED"/>
        <s v="ELEPHANTA INDUSTRIES PVT LTD"/>
        <s v="ELGI EQUIPMENTS LTD           "/>
        <s v="ELITE AUTO ENGINEERS PVT LTD"/>
        <s v="ELTHOR ENERGY PRIVATE LIMITED"/>
        <s v="EMOBI MANUFACTURY PRIVATE LIMITED"/>
        <s v="E-MOTION AUTOMOTIVE INDUSTRY LLP"/>
        <s v="ENERGY ELECTRIC VEHICLES"/>
        <s v="ENGINIA VEHICLES PVT LTD"/>
        <s v="ENGTIAN ELECTRIC BIKE PVT LTD"/>
        <s v="ENIGMA AUTOMOBILES PVT LTD"/>
        <s v="ENTICE IMPEX PVT LTD"/>
        <s v="EPOWER VEHICLES PVT LTD"/>
        <s v="ERISHA E MOBILITY PVT LTD"/>
        <s v="ESCORT JCB LTD"/>
        <s v="ESCORTS CONSTRUCTION EQUIPMENT LTD"/>
        <s v="ESCORTS KUBOTA LIMITED (AGRI MACHINERY GROUP)"/>
        <s v="E-SPRINTO GREEN ENERGY PVT LTD"/>
        <s v="ESSEL ENERGY INFRA PVT LTD"/>
        <s v="ETHIRAJ AUTO UDYOG PVT LTD    "/>
        <s v="ETRIO AUTOMOBILES PVT LTD"/>
        <s v="EULER MOTORS PVT LTD"/>
        <s v="EVAGE AUTOMOTIVE PVT LTD"/>
        <s v="EVBHARAT RANGE PRIVATE LIMITED"/>
        <s v="EVCO AUTOMOBILES PVT LTD"/>
        <s v="EVERVE MOTORS PVT LTD"/>
        <s v="EVEX AUTO INDIA PVT LTD"/>
        <s v="EVOLUTION AUTOTECH"/>
        <s v="EVTRIC MOTORS PVT LTD"/>
        <s v="EXERVAL PVT LTD"/>
        <s v="EXIDE INDUSTRIES LTD"/>
        <s v="EXPO MACHINERY LTD"/>
        <s v="EXTRA FAST SOLUTIONS"/>
        <s v="EXTRAMILE GAS TECH"/>
        <s v="EXTREME MOTORS"/>
        <s v="EYUG AUTOMOBILE PVT LTD"/>
        <s v="FEDE INDUSTRIES PVT LTD"/>
        <s v="FIADO INDUSTRIES PVT LTD"/>
        <s v="FIRST CHOICE ELECTRIC VEHICLES PVT LTD"/>
        <s v="FITWEL MOBILITY PVT LTD"/>
        <s v="FIVE ELEMENTS"/>
        <s v="FORCE MOTORS LIMITED"/>
        <s v="FORD INDIA PVT LTD"/>
        <s v="FRN MOTORS PVT LTD"/>
        <s v="FSTMOTO (IMPORTER: AUTOICARE INNOVATION)"/>
        <s v="FSTMOTO INTERNATIONAL (IMPORTER: TEDI (INDIA))"/>
        <s v="FUJIYAMA POWER INFRA PVT. LTD."/>
        <s v="G &amp; G AUTOMOTIVE"/>
        <s v="G WILLIAMS FABRICATIONS LTD"/>
        <s v="G. M. VEHICLE INDUSTRIES"/>
        <s v="G.K E-VEHICLS INDUSTRIES PVT LTD"/>
        <s v="G.K. RICKSHAW"/>
        <s v="GAGAN AUTOMOTIVES"/>
        <s v="GAIA INTERNATIONAL (IMPORTER: NEW ENERGY WAGON)"/>
        <s v="GALVANIC AUTO PVT LTD"/>
        <s v="GANAPATI AGRO INDUSTRIES"/>
        <s v="GARWARE MOTORS LIMITED"/>
        <s v="GAURA ELECTRIC VEHICLES PVT LTD"/>
        <s v="GAURI AUTO INDIA PVT. LTD"/>
        <s v="GAYAM MOTOR WORKS PRIVATE LIMITED"/>
        <s v="GAYATRI ELECTRIC VEHICLES"/>
        <s v="GEMAG CONSTRUCTION MACHINARY"/>
        <s v="GENERAL AGENCIES(KOLKATA) PVT LTD"/>
        <s v="GENERAL MOTORS INDIA PVT LTD"/>
        <s v="GEO ALLIANCE"/>
        <s v="GILL AGRICULTURE WORKS"/>
        <s v="GILL AGROTECH"/>
        <s v="GIRNAR SCOOTERS LTD"/>
        <s v="GKON ELECTRIC MOTOR VEHICLES PVT LTD"/>
        <s v="GO GREEN EOT (ENERGY OF THINGS) PVT LTD"/>
        <s v="GOBIND INDUSTRIES PVT LTD"/>
        <s v="GODAWARI ELECTRIC MOTORS PVT LTD"/>
        <s v="GODAWARI TECHNO SOLUTIONS PVT LTD"/>
        <s v="GODREJ AND BOYCE MFG CO LTD"/>
        <s v="GOENKA ELECTRIC MOTOR VEH P L"/>
        <s v="GOENKA ELECTRIC MOTOR VEHICLES PVT LTD"/>
        <s v="GOGORO (IMPORTER: GOGORO INDIA PRIVATE LTD)"/>
        <s v="GOGORO INDIA PVT LTD"/>
        <s v="GOLD HOFER"/>
        <s v="GOLDENLION (IMPORTER:ELLYSIUM AUTOMOTIVES PVT LTD)"/>
        <s v="GOOD ENERGY INDIA"/>
        <s v="GOOD WILL HI PRECISION"/>
        <s v="GOODENERGY INDIA PVT LTD"/>
        <s v="GOODWILL HI PRECISION WORKS PVT LTD"/>
        <s v="GOPAL AGROTECH"/>
        <s v="GOPAL AUTO MOTORS PVT LTD"/>
        <s v="GOREEN E-MOBILITY PVT LTD"/>
        <s v="GRAM TARANG EMPLOYABILITY TRAINNING SERVICES P LTD"/>
        <s v="GRD MOTORS"/>
        <s v="GREAT AUTOMOTIVE LIMITED"/>
        <s v="GREAVES COTTON LTD."/>
        <s v="GREAVES ELECTRIC MOBILITY PVT LTD"/>
        <s v="GREAVES INDIA PVT LTD"/>
        <s v="GREEN EVOLVE PVT LTD"/>
        <s v="GREEN IMPEX"/>
        <s v="GREEN KAIKETSU AUTOMATIVE IND"/>
        <s v="GREEN KAIKETSU AUTOMOTIVE INDIA PVT LTD"/>
        <s v="GREEN SHUTTLE TECHNOLOGY PVT LTD"/>
        <s v="GREEN STAR MOTORS"/>
        <s v="GREEN TACK EMPALA ELECTRIC MOTOR COMPANY"/>
        <s v="GREEN TECHNOLOGIES"/>
        <s v="GREEN VALLEY MOTORS"/>
        <s v="GREEN WAY ECO RIDE"/>
        <s v="GREEN WHEELZ (INDIA)"/>
        <s v="GREEN WORLD MOTORS PVT LTD"/>
        <s v="GREENETICS INDUSTRIES PVT LTD"/>
        <s v="GREENFIT INDUSTRIES LLP"/>
        <s v="GREENTECH AUTO LLP"/>
        <s v="GREENWHEELS AUTOMOBILE PVT LTD"/>
        <s v="GRG SMART VEHICLE PVT LTD"/>
        <s v="GRINDIA G MOTORS PVT LTD"/>
        <s v="GUANGXI MEIBAO(IMPORTER: DYNAMO ELECTRIC)"/>
        <s v="GUJARAT TRACTOR CORP LTD"/>
        <s v="GURDEEP ENGINEERING WORKS"/>
        <s v="GURJEET AGRO INDUSTRIES"/>
        <s v="GURU JI WHEELS"/>
        <s v="GURUKIRPA INDUSTRIES"/>
        <s v="GURUKIRPA MOTORS"/>
        <s v="GURUKRAPA ENGINEERING WORKS"/>
        <s v="H. D. AUTOMOTIVES"/>
        <s v="H.M.S.I. PVT. LTD."/>
        <s v="HAARISH AUTOMOTIVES (OPC) PRIVATE LIMITED"/>
        <s v="HAITEK AUTOMOTIVE PVT LTD"/>
        <s v="HAMPI TRACTORS"/>
        <s v="HANUMAN UDYOG"/>
        <s v="HARJAS AGRO INDUSTRIES"/>
        <s v="HARSH TRADING CO"/>
        <s v="HARSHVIE INDUSTRIES PVT LTD"/>
        <s v="HAYASA E-MOBILITY (INDIA) PVT LTD"/>
        <s v="HBSS E MOBILITY PVT LTD"/>
        <s v="H-D MOTOR COMPANY INDIA PVT LTD"/>
        <s v="HERCULES CRANE PVT.LTD."/>
        <s v="HERO ECO VEHICLES PVT LTD"/>
        <s v="HERO ELECTRIC VEHICLE PVT LTD"/>
        <s v="HERO ELECTRIC VEHICLES PVT. LTD"/>
        <s v="HERO HONDA MOTORS  LTD"/>
        <s v="HERO MOTOCORP LTD"/>
        <s v="HETTRA HET TRAILER"/>
        <s v="HIM TEKNOFORGE LTD"/>
        <s v="HIND AGRO INDUSTRIES"/>
        <s v="HINDUSTAN MOTOR CORPORATION"/>
        <s v="HINDUSTAN MOTOR FINANCE CORPORATION LIMITED"/>
        <s v="HITECH  MECHANICAL WORKS"/>
        <s v="HITECH ELECTRIC AUTO CO"/>
        <s v="HITECH INDUSTRIES"/>
        <s v="HI-TECH INDUSTRIES"/>
        <s v="HITEK ELECTRIC AUTO CO"/>
        <s v="HITEK ELECTRIC AUTO CO."/>
        <s v="HMT LIMITED"/>
        <s v="HOMFEEL VEGH AUTOMOBILES PVT LTD"/>
        <s v="HONDA CARS INDIA LTD"/>
        <s v="HONDA MOTORCYCLE AND SCOOTER INDIA (P) LTD"/>
        <s v="HONGKONG YIXING (IMPORTER: ADMS MARKETING)"/>
        <s v="HONGKONG YIXING (IMPORTER: VICTORY ELECTRIC)"/>
        <s v="HOOGHLY MOTORS PVT LTD"/>
        <s v="HOP ELECTRIC MOBILITY PVT LTD"/>
        <s v="HOP MOTORS PVT LTD"/>
        <s v="HOTAGE INDIA"/>
        <s v="HOUSTAN INNOVATION LLP"/>
        <s v="HOVEL CYLINDER PVT LTD"/>
        <s v="HSU DRAGON (IMPORTER: DARK FIGHT POWER PVT LTD)"/>
        <s v="HUNDA EV PVT LTD"/>
        <s v="HUNDAL INDUSTRIES"/>
        <s v="HYKON INDIA LTD"/>
        <s v="HYUNDAI MOTOR INDIA LTD"/>
        <s v="HYUNDAI MOTORS LTD, SOUTH KOREA"/>
        <s v="IDEAL JAWA INDIA PVT LTD"/>
        <s v="INDIA SAFE ENTERPRISE"/>
        <s v="INDIA YAMAHA MOTOR PVT LTD"/>
        <s v="INDIAN MOTORS"/>
        <s v="INDO FARM EQUIPMENT LIMITED"/>
        <s v="INDUS ELECTROTHERM INDIA LTD"/>
        <s v="INS AUTOMOBILES PVT LTD"/>
        <s v="INTERNATIONAL CARS &amp; MOTORS LTD"/>
        <s v="INTERNATIONAL TRACTORS LIMITED"/>
        <s v="INVVIGORS INDIA"/>
        <s v="IRA EDUTECH PVT LTD"/>
        <s v="ISUKII GREENS PVT LTD"/>
        <s v="ISUZU MOTOR INDIA PVT LTD"/>
        <s v="IVOOMI INNOVATION PVT LTD"/>
        <s v="IZANAU ELECTRIC LLP"/>
        <s v="J P AUTO TECH"/>
        <s v="J S AGRO INDUSTRIES"/>
        <s v="J S MOBILEON PVT LTD"/>
        <s v="J. S. AUTO (P) LTD"/>
        <s v="J.S.AUTO PVT LTD (KANPUR)"/>
        <s v="JADE KOREA SPINE LIFE"/>
        <s v="JAGUAR LAND ROVER INDIA LIMITED"/>
        <s v="JAI AMBE FABRICATION &amp; ENGINEERING WORK"/>
        <s v="JAI BHAVANI ENGINEERING  WORKS"/>
        <s v="JAI SRI RAM ELECTRIC VEHICLE MANUFACTURING PVT LTD"/>
        <s v="JAIDKA POWER SYSTEMS PVT LTD"/>
        <s v="JAIN POWER CORP"/>
        <s v="JAISIK BUSINESS LINKS PVT LTD"/>
        <s v="JAISWAL INDUSTRIES"/>
        <s v="JAJODIA COMMODITIES PVT LTD"/>
        <s v="JAL ENTERPRISES"/>
        <s v="JANANI TRAILERS"/>
        <s v="JAY ACE TECHNOLOGIES LTD"/>
        <s v="JAY AMBE AGRICULTURE"/>
        <s v="JAYA AUTOMOTIVES PVT LTD      "/>
        <s v="JAYANTI AGRO CENTRES"/>
        <s v="JAYATI TOOLS"/>
        <s v="JAYDEV ENTERPRISE"/>
        <s v="JAYEM AUTOMOTIVES PVT LTD"/>
        <s v="JAYNA AUTOMOBILES LLP"/>
        <s v="JCB INDIA LTD"/>
        <s v="JEEVA TRAILERS"/>
        <s v="JEEVAA E-BIKE MFG PVT LTD"/>
        <s v="JEMCO ENGINEERING PVT LTD"/>
        <s v="JESSUN TECHNO PVT LTD"/>
        <s v="JIANGSU AIMA (IMPORTER: FUTURE EV)"/>
        <s v="JIANGSU AIMA (IMPORTER: QUANTUM ENERGY)"/>
        <s v="JIANGSU DALONG (IMPORTER: ENGTIAN ELECTRIC)"/>
        <s v="JIANGSU DALONG (IMPORTER: KINGCHE MOBILITY)"/>
        <s v="JIANGSU DALONG (IMPORTER: RILOX EV PVT LTD)"/>
        <s v="JIANGSU DALONG (IMPORTER: SABOO TOR)"/>
        <s v="JIANGSU DALONG (IMPORTER:TYLOS ELECTRIC VEHICLES)"/>
        <s v="JIANGSU DALONG JIANHAO (IMPORTER: GREEN INDIA)"/>
        <s v="JIANGSU GUOWEI (IMPORTER: REVEAL ELECTRIC)"/>
        <s v="JIANGSU GUOWEI (IMPORTER:ELECTRO-TECH)"/>
        <s v="JIANGSU JINPENG (IMPORTER: KKL HITECH EV)"/>
        <s v="JIANGSU SUNHOU (IMPORTER: SABOO TOR)"/>
        <s v="JIANGSU XINRI (IMPORTER: NISIKI TECHNOLOGIES)"/>
        <s v="JIANGSU XINRI E-VEHICLE(IMPORTER SWIFT CUR.TECH.)"/>
        <s v="JIANGSU ZHEENAIDA (IMPORTER: KLB GLOBAL)"/>
        <s v="JIJO ELECTRIC WHEELS PVT LTD"/>
        <s v="JINDAL ELECTRIC VEHICLES"/>
        <s v="JITENDRA NEW EV-TECH PVT. LTD"/>
        <s v="JITENDRA TEMPO PARTS"/>
        <s v="JMT VEHICLES PVT LTD"/>
        <s v="JOHN DEERE INDIA  PVT LTD(TRACTOR DEVISION)"/>
        <s v="JOYRAM STEEL FABRICATION WORKS"/>
        <s v="JS MOBILEON PVT LTD"/>
        <s v="JSS ENGINEERING COMPANY"/>
        <s v="JUNENG MOTORCYCLE (IMPORTER: ADMS MARKETING)"/>
        <s v="JUNENG MOTORCYCLE (IMPORTER: ISCOOT MOTERS)"/>
        <s v="JUNENG MOTORCYCLE (IMPORTER: JHEV MOTORS PVT LTD)"/>
        <s v="JUNENG MOTORCYCLE TECH. (IMPORTER: DELTA AUTOCORP)"/>
        <s v="JUNGHEINRICH AG AND CO"/>
        <s v="JUNO CASTINGS PVT LTD"/>
        <s v="K M MOTORS"/>
        <s v="K T ENTERPRISES"/>
        <s v="K. S. INDUSTRIES"/>
        <s v="K. V. INDUSTRIES"/>
        <s v="KABIRA MOBILITY LLP"/>
        <s v="KABMAX ELECTRIC AUTOMOBILES PVT. LTD"/>
        <s v="KADESEETLA AASHIRWAD GP INDUSTRIES PVT LTD"/>
        <s v="KAINING (HONGKONG) (IMPORTER: ENERGY AUTOMOBILE)"/>
        <s v="KAINING (HONGKONG) (IMPORTER: ENIGMA AUTOMOBILES)"/>
        <s v="KAINING (HONGKONG) (IMPORTER: TOXMO ELECTRIC)"/>
        <s v="KAINING (HONGKONG) (IMPORTER: VOLTA EV PVT LTD)"/>
        <s v="KAINING (HONGKONG) (IMPORTER:M/S IZANAU ELECTRIC)"/>
        <s v="KAKKAR ELECTRIC AUTO PVT LTD"/>
        <s v="KALIKA VAHAN PVT LTD"/>
        <s v="KALINGA VENTURES IND P"/>
        <s v="KALINGA VENTURES INDIA PVT LTD"/>
        <s v="KALPVRIKSH ELECTOMOBILES CO"/>
        <s v="KAMAZ INDUSTRIES"/>
        <s v="KANHA ELECTRIC VEHICLES"/>
        <s v="KANIFA AUTOMOTIVE PVT LTD"/>
        <s v="KAPTECH INDIA PVT LTD"/>
        <s v="KARNATAKA SCOOTERS LTD"/>
        <s v="KARTAR AGRO ENGINEERS PVT LTD"/>
        <s v="KARTAR AGRO INDUSTRIES PVT LTD"/>
        <s v="KARUMALAIAN AGRO INDUSTRY     "/>
        <s v="KATYAYANI AUTOMOTIVE"/>
        <s v="KAYAMEL MACHINE PRIVATE LTD"/>
        <s v="KCAS ELECTRIC VEHICLES PVT LTD"/>
        <s v="KELVINATOR INDIA LTD          "/>
        <s v="KERALA AUTOMOBILES LIMITED"/>
        <s v="KETO MOTORS PVT LTD"/>
        <s v="KETRON ELECTRIC VEHICLES PVT LTD"/>
        <s v="KGN"/>
        <s v="KGN INDUSTRIES"/>
        <s v="KHALSA  AGRO INDUSTRIES"/>
        <s v="KHALSA E-VEHICLES PVT LTD"/>
        <s v="KHAN ENGINEERING WORKS"/>
        <s v="KHEMRAJ AUTOMOTIVE INDUSTRIES"/>
        <s v="KIA INDIA PRIVATE LIMITED"/>
        <s v="KINETIC GREEN ENERGY &amp; POWER SOLUTIONS LTD"/>
        <s v="KINETIC GREEN ENERGY P SOL LTD"/>
        <s v="KINETIC MOTOR COMPANY LIMITED"/>
        <s v="KION INDIA PVT LTD"/>
        <s v="KIRAN AUTOMOBILE INDUSTRY"/>
        <s v="KIRTI SOLAR LTD"/>
        <s v="KISAN AGRO INDUSTRIES"/>
        <s v="KLB KOMAKI PVT LTD"/>
        <s v="KNIGHT QUEEN INDUSTRIES PV LTD"/>
        <s v="KNIGHT QUEEN INDUSTRIES PVT LTD"/>
        <s v="KPT INDUSTRIES LTD"/>
        <s v="KPT MOTORS"/>
        <s v="KRANTI AUTOMOBILES LIMITED"/>
        <s v="KRANTI AUTOMOBILES LTD"/>
        <s v="KRANTI INTERNATIONAL"/>
        <s v="KRISHI ENGINEERING WORKS"/>
        <s v="KRISHNA ENGINEERING"/>
        <s v="KRISHNA ENGINEERING WORKS"/>
        <s v="KRISHNA INDUSTRIES"/>
        <s v="KRISHNA VEHICALS"/>
        <s v="KRT MOTORS PVT LTD"/>
        <s v="KUBOTA AGRICULTURAL MACHINERY INDIA PVT.LTD."/>
        <s v="KUKU AUTOMOTIVES"/>
        <s v="KUMAR ENGINEERING"/>
        <s v="KUMAR MOTORS PVT LTD"/>
        <s v="KUMARAN ENGINEERING ENTERPRISES"/>
        <s v="KYTE ENERGY PVT. LTD."/>
        <s v="L &amp; T CASE EQUIPMENT PVT LTD"/>
        <s v="LAKSHMI AGRO INDUSTRIES"/>
        <s v="LAKSHMI AUTO TRADERS"/>
        <s v="LAKSHYA AUTO SALES CORPORATION"/>
        <s v="LAKSHYA MOTORS"/>
        <s v="LALA G E RICKSHAW AND SPARE PARTS"/>
        <s v="LAUNCHER MATERIAL HANDLING INDUSTRIES"/>
        <s v="LAWAT MOTORS"/>
        <s v="LAWAT MOTORS LLP"/>
        <s v="LAXMI E-RICKSHAW COMPANY"/>
        <s v="LECTRIX EV PVT LTD"/>
        <s v="LEOPAN MOTORS PRIVATE LIMITED"/>
        <s v="LI-IONS ELEKTRIK SOLUTIONS PVT LTD"/>
        <s v="LIMA VEHICLE GROUP(IMPORTER: ROUTE &amp; MARS EV LLP)"/>
        <s v="LIONIZE AUTOMOBILE PVT LTD"/>
        <s v="LIUGONG INDIA PVT. LTD"/>
        <s v="LML LIMITED"/>
        <s v="LMV LTD"/>
        <s v="LOCAL TRAILER MANUFACTURER"/>
        <s v="LOG 9 MATERIALS SCIENTIFIC PVT LTD"/>
        <s v="LOHIA AUTO INDUSTRIES"/>
        <s v="LOHIA AUTO INDUSTRIES LTD."/>
        <s v="LORDS VEHICLE MFG PVT LTD"/>
        <s v="LOTEY AGRO INDUSTRY"/>
        <s v="LOTIA  MOTORS  LTD"/>
        <s v="LUCKY INDUSTRIES"/>
        <s v="M G INDUSTRIES"/>
        <s v="M K BROTHERS"/>
        <s v="M K ENTERPRISES"/>
        <s v="M.G.P ENGINEERING WORKS"/>
        <s v="M.K. ENTERPRISES"/>
        <s v="M/S CHAMPION POLY PLAST"/>
        <s v="M/S HOVEL CYLINDER PVT LTD"/>
        <s v="M/S JASRAJ AUTO AGENCY"/>
        <s v="M/S PATEL &amp; SONS ENGINEERING WORKS,SAMBALPUR"/>
        <s v="M/S SHRIRAM AUTO TECH PVT LTD"/>
        <s v="M/S SRISHTI AUTOMOBILES"/>
        <s v="M/S SUBHAM ENGINEERING WORKSHOP, BALIAPAL, BALASORE"/>
        <s v="M/S TRISHIKA INDUSTRIES"/>
        <s v="M/S UNITY MOTOR BODY"/>
        <s v="M/S VISHNU CLEAN ENERGY VEHICLES LLP"/>
        <s v="M/S. DAVE EXIM (P) LTD."/>
        <s v="M2GO ELECTRIC VEHICLE PVT LTD"/>
        <s v="M2J E VAHAN PVT LTD"/>
        <s v="MAA DURGA ELECTRIC MOTOR VEHICLE PVT LTD"/>
        <s v="MAA KALPANA ENTERPRISE"/>
        <s v="MAA LUXMI E-VEHICLES PVT. LTD."/>
        <s v="MAA SHAKTI EXIM PVT LTD"/>
        <s v="MAC AUTO INDIA"/>
        <s v="MAC INTERNATIONAL (IMPORTER: JHEV MOTORS PVT LTD)"/>
        <s v="MAC INTERNATIONAL (IMPORTER:HONESTY)"/>
        <s v="MACNEILL ENGG LTD"/>
        <s v="MACNEILL ENGINEERING LIMITED"/>
        <s v="MAHALINGA ENGG. INDUSTRIES  "/>
        <s v="MAHARASTRA SCOOTER LIMITED"/>
        <s v="MAHI ENTERPRISES"/>
        <s v="MAHINDRA &amp; MAHINDRA LIMITED"/>
        <s v="MAHINDRA &amp; MAHINDRA LIMITED (SWARAJ DIVISION)"/>
        <s v="MAHINDRA &amp; MAHINDRA LIMITED (TRACTOR)"/>
        <s v="MAHINDRA ELECTRIC MOBILITY LIMITED"/>
        <s v="MAHINDRA GUJARAT TRACTOR LIMITED"/>
        <s v="MAHINDRA LAST MILE MOBILITY LTD"/>
        <s v="MAHINDRA NAVISTAR  AUTOMOTIVES LTD"/>
        <s v="MAHINDRA NISSAN ALLWYN LTD."/>
        <s v="MAHINDRA RENAULT PVT.LTD."/>
        <s v="MAHINDRA TWO WHEELERS LTD"/>
        <s v="MAHINDRA VEHICLE MANUFACTURER LIMITED"/>
        <s v="MAHTAB BODY MAKER"/>
        <s v="MALAK TECHNO PVT LTD"/>
        <s v="MALHOTRA  VEHICLE MANUFACTURING PVT LTD"/>
        <s v="MALI ENTERPRISES PVT LTD"/>
        <s v="MAN TRUCKS INDIA PVT. LTD."/>
        <s v="MANIRAM ELECTRIC VEHICLE PVT LTD"/>
        <s v="MANISH EV INTERNATIONAL PRIVATE LIMITED"/>
        <s v="MANITA CITY MOTORS LLP"/>
        <s v="MANMOHAN KAUR"/>
        <s v="MARINE NAVAIDS &amp; SOLAR AUTO PVT LTD"/>
        <s v="MARKUS"/>
        <s v="MARUTHISAN PVT LTD"/>
        <s v="MARUTI SUZUKI INDIA LTD"/>
        <s v="MAULIRAJ INDUSTRIES LLP"/>
        <s v="MAXI CAB"/>
        <s v="MAYUR ENTERPRISES,BARIPADA"/>
        <s v="MECPOWER MOBILITY PVT. LTD."/>
        <s v="MEGHA TRAILERS"/>
        <s v="MERCEDES -BENZ AG"/>
        <s v="MERCEDES-BENZ INDIA PVT LTD"/>
        <s v="MEW ELECTRICALS LIMITED"/>
        <s v="MG MOTOR INDIA PVT LTD"/>
        <s v="MICROAUTOTECH PVT. LTD."/>
        <s v="MICROCON I2I PVT LTD"/>
        <s v="MILLENNIAL MOTORS LLP"/>
        <s v="MINI METRO"/>
        <s v="MINI METRO EV L.L.P"/>
        <s v="MIRAKLE 5 AUTOMOBILES PVT LTD"/>
        <s v="MITHU BAJRANG ENG.WORKS"/>
        <s v="MLR AUTO LTD"/>
        <s v="MODIKA INTERNATIONAL (IMPORTER: FRANKLIN EV)"/>
        <s v="MOHAN GENERAL TRADING COMPANY"/>
        <s v="MOMU AUTOMOTIVE"/>
        <s v="MONDAL TRADING"/>
        <s v="MOTOR &amp; GENERAL SALES LTD."/>
        <s v="MOTOR &amp; GENERAL SALES PVT LTD"/>
        <s v="MOTOROYALE KINETIC PRIVATE LIMITED"/>
        <s v="MOTOVOLT MOBILITY PVT LTD"/>
        <s v="MOTRAC MOTORS PVT LTD"/>
        <s v="MOVE STONE SERVICES PVT LTD"/>
        <s v="MSI INDUSTRIES"/>
        <s v="MULTI DIMENSIONAL SOLUTIONS"/>
        <s v="MUNDE MECHANICAL WORKS"/>
        <s v="MUTHUR AGRO ENGINEERING WORKS"/>
        <s v="MVM MOTORS PRIVATE LIMITED"/>
        <s v="N0VA AUTOMOTIVE TECHNOLOGIES PVT. LTD"/>
        <s v="NABH MOTORS PVT LTD"/>
        <s v="NAMAH INDUSTRIES PVT LTD"/>
        <s v="NAND ELECTRIC MOTOR VEHICLE PVT LTD"/>
        <s v="NANNHRAY AGIRCULTURE WORKS"/>
        <s v="NANYA AIRCONN PVT LTD"/>
        <s v="NARAINDASS AND SONS"/>
        <s v="NB TURNED  COMPONENTS PVT LTD"/>
        <s v="NBC ENGINEERING PVT LTD"/>
        <s v="NDS ECO MOTORS PVT LTD"/>
        <s v="NEEDLE EYE PLASTIC INDUSTRIES PVT LTD"/>
        <s v="NEELAM AGRO EQUIP"/>
        <s v="NEELAM CYCLE"/>
        <s v="NEUON MOTORS LLP"/>
        <s v="NEW ARCANA INDIA"/>
        <s v="NEW CHAWLA INDUSTRIES"/>
        <s v="NEW HOLLAND CONSTRUCTION EQUIPMENT(I) PVT.LTD."/>
        <s v="NEW MARTHWADA QUALITY TRAILOR"/>
        <s v="NEWTON INDIA INDUSTRIES PVT LTD"/>
        <s v="NEXZU MOBILITY PVT LTD"/>
        <s v="NGAGE IMPEX PVT LTD"/>
        <s v="NGAGE WHEEL PVT LTD"/>
        <s v="NHD MOTORS"/>
        <s v="NIBE MOTORS PVT LTD"/>
        <s v="NIC TEST ACCOUNT-1"/>
        <s v="NICOLAS INDUSTRIES"/>
        <s v="NIKHIL FURNITURES"/>
        <s v="NINGBO SANJIANG (IMPORTER: VABRO EVTECH)"/>
        <s v="NIPUN SANYANTRA PVT LTD"/>
        <s v="NIRMAL UTILITY SERVICES PVT LTD"/>
        <s v="NISIKI TECHNOLOGIES PVT LTD"/>
        <s v="NISSAN MOTOR INDIA PVT LTD"/>
        <s v="NRJ ELECTRIC MOTOR VEHICLES PVT LTD"/>
        <s v="NUMEROS MOTORS PVT LTD"/>
        <s v="OBEN ELECTRIC VEHICLES PVT LTD"/>
        <s v="OCULUS AUTO INDUSTRIES LLP"/>
        <s v="ODYSSE ELECTRIC VEHICLES PVT LTD"/>
        <s v="OGATA MOTORS INDIA PVT LTD"/>
        <s v="OK PLAY INDIA LTD"/>
        <s v="OKA MOTOR COMPANY LTD."/>
        <s v="OKAYA EV PVT LTD"/>
        <s v="OKINAWA AUTOTECH PVT LTD"/>
        <s v="OLA ELECTRIC TECHNOLOGIES PVT LTD"/>
        <s v="OLECTRA GREENTECH LTD"/>
        <s v="OLYMPUS INDUSTRIES PVT LTD"/>
        <s v="OM BALAJEE AUTOMOBILE ( INDIA) PVT. LTD"/>
        <s v="OM BALAJI AUTOMOBILES I P LTD"/>
        <s v="OM INDUSTRIES"/>
        <s v="OM PACKAGING"/>
        <s v="OM RAJ AUTOTECH LLP"/>
        <s v="OM. INDUSTRIES"/>
        <s v="OMEGA SALES &amp; AGRO INDUSTRIES"/>
        <s v="OMEGA SEIKI PVT LTD"/>
        <s v="OMJAY EV LIMITED"/>
        <s v="ORIGINAL FUEL SYSTEM PVT LTD"/>
        <s v="OTHERS"/>
        <s v="OZOTEC AUTOMOBILE PRIVATE LIMITED"/>
        <s v="PAARTH SARTHI AUTOMOTIVE ENGINEERS PVT LTD"/>
        <s v="PACE AGRO PRIVATE LIMITED"/>
        <s v="PACE AGRO PVT LTD"/>
        <s v="PAL DIESAL PVT LTD"/>
        <s v="PANSEN ENGINEERING INDIA PVT LTD"/>
        <s v="PANTHER ELECTRIC VEHICLES"/>
        <s v="PARAG AGRO"/>
        <s v="PARAS INDUSTRIES"/>
        <s v="PARI E-VEHICLES"/>
        <s v="PARI METRO E RICKSHAW"/>
        <s v="PARVEEN AUTO"/>
        <s v="PASHUPATI NATH MOTORS PVT LTD"/>
        <s v="PASHUPATI VEHICLE PVT. LTD."/>
        <s v="PASHUPATI VEHICLES PVT LTD"/>
        <s v="PATS MOTOR CORP"/>
        <s v="PCA AUTOMOBILES INDIA PVT LTD"/>
        <s v="PIAGGIO VEHICLES PVT LTD"/>
        <s v="PILLING RIG"/>
        <s v="PINNACLE MOBILITY SOLUTIONS PVT LTD"/>
        <s v="PLAUDIT TECHNO INDIA PVT LTD"/>
        <s v="PMI ELECTRO MOBILITY SOLUTIONS PRIVATE LIMITED"/>
        <s v="PONMALAR TRAILERS"/>
        <s v="POOSHPAK AUTOMOBILES PVT LTD"/>
        <s v="PORFITEL TECHNOLOGY (IMPORTER: AERORIDE)"/>
        <s v="PORSCHE AG"/>
        <s v="PORSCHE AG GERMANY"/>
        <s v="PORWAL ELECTRIC"/>
        <s v="POWERLAND AGRO TRACTOR VEHICLES PVT LTD"/>
        <s v="PRAAKARM AUTO &amp; CONSTRUCTION EQUIPMENTS"/>
        <s v="PRABHA AUTOMOTIVE ENGINEERS PVT LTD"/>
        <s v="PRAG MOTORS"/>
        <s v="PRAGYA AUTOMOBILE PVT LTD"/>
        <s v="PRAJAPATI ENG. WORKS"/>
        <s v="PRAJJWAL MAHAJAN TRADERS"/>
        <s v="PRAKASH ENTERPRISES"/>
        <s v="PREET TRACTORS PVT. LTD."/>
        <s v="PREMIER LTD"/>
        <s v="PRESTANTIA CREATIONS PVT LTD"/>
        <s v="PRIDE E-MOTORS"/>
        <s v="PRIMA PVT LTD"/>
        <s v="PRIYAM INDUSTRIES AND ENGINEERING PVT LTD"/>
        <s v="PUBANG ETRON ELECTRIC MOTOR PVT LTD"/>
        <s v="PUNEET OVERSEAS  INC"/>
        <s v="PUNJAB BODY BUILDERS"/>
        <s v="PUNJAB TRACTORS LIMITED"/>
        <s v="PUR ENERGY PVT LTD"/>
        <s v="PURVA UDYOG PVT LTD"/>
        <s v="PUSHKAR INDUSTRIES"/>
        <s v="PYTHOX MOTORS PVT LTD"/>
        <s v="QICHENG VEHICLE (IMPORTER: AUTOICARE INNOVATION)"/>
        <s v="QOOKEE TECHNOLOGIES (IMPORTER:VIKEBIKE INDIA)"/>
        <s v="QUANTUM ENERGY LTD."/>
        <s v="R.N.A.I.P.LTD"/>
        <s v="R3 ENTERPRISES"/>
        <s v="RAAJ AUTOMOTIVE"/>
        <s v="RACCOON MOTORS PVT LTD"/>
        <s v="RACHANACREATIONS AUTO PVT LTD"/>
        <s v="RAFTAAR ELECTRIC GREEN VEHICLES PVT LTD"/>
        <s v="RAHUL AGRO EXPORTS PVT LTD"/>
        <s v="RAJ AUTOMOTIVE"/>
        <s v="RAJA ARTS HITECH ENGINEERING"/>
        <s v="RAJESH STEEL AND WIRE INDUSTRIES"/>
        <s v="RAJIV RAJ VEHICLES PVT LTD"/>
        <s v="RAJKAMAL MOTORS LTD"/>
        <s v="RAM JANKI ENG. WORK"/>
        <s v="RAMA INDUSTRIES"/>
        <s v="RAMON INDUSTRIES"/>
        <s v="RANA ENGINEER WORKS"/>
        <s v="RASANDIK ENGINEERING"/>
        <s v="RASANDIK ENGINEERING INDUSTRIES INDIA LTD"/>
        <s v="RASANDIK MOTORS PVT LTD"/>
        <s v="RASIWASIA RASAYAN PVT LTD"/>
        <s v="RATHNA ENGINEERING COMPANY"/>
        <s v="RAVI METAL WORKS"/>
        <s v="RAYON ENGINEERS"/>
        <s v="RCJ AUTO FORGE PVT LTD"/>
        <s v="RD AND CO"/>
        <s v="RDS INDUSTRIES"/>
        <s v="REDDY AUTOMOTIVE PVT LTD"/>
        <s v="REEP INDUSTRIES PVT LTD"/>
        <s v="REFLEX CONTROL SYSTEM PVT"/>
        <s v="REFLEX CONTROL SYSTEM PVT .LTD"/>
        <s v="REGENERATION E BIKES"/>
        <s v="RENAULT INDIA PVT LTD"/>
        <s v="REPUBLIC MOTORS"/>
        <s v="REPUBLIC PVT.LTD."/>
        <s v="REVA ELECTRIC CAR CO"/>
        <s v="REVOLT INTELLICORP PVT LTD"/>
        <s v="RGM BUSINESS PLUS PVT LTD"/>
        <s v="RIBAND ELECTRIC PVT LTD"/>
        <s v="RICHFORD ALLIANZ PVT LTD"/>
        <s v="RIVER MOBILITY PVT LTD"/>
        <s v="RIYA ENTERPRISE"/>
        <s v="ROANSOME MOTORS"/>
        <s v="ROARLEO MOTOR PVT LTD"/>
        <s v="ROLLS ROYCE"/>
        <s v="ROLLS ROYCE MOTOR (IMPORTER: KUN MOTOR)"/>
        <s v="ROLLS-ROYCE MOTOR CARS(IMPORTER:SELECT CARS P LTD)"/>
        <s v="ROWWET MOBILITY PVT LTD"/>
        <s v="ROYAL-ENFIELD (UNIT OF EICHER LTD)"/>
        <s v="ROYCE EV PVT LTD"/>
        <s v="RP MOTORS"/>
        <s v="RSD SECURITY SOLUTIONS PVT LTD"/>
        <s v="RUDRA AUTO INDUSTRIES"/>
        <s v="RUTBA PRODUCT PVT LTD"/>
        <s v="S AND J INDUSTRIES"/>
        <s v="S B TRADERS"/>
        <s v="S E ASIA CO"/>
        <s v="S J TRAILORS"/>
        <s v="S M TRACTOR TRALERS, SHAHAPUR"/>
        <s v="S S GLOBAL"/>
        <s v="S.M. LTD."/>
        <s v="S.P. ELECTRONICS"/>
        <s v="S.S.AGRO TECH"/>
        <s v="S.V AUTOMOTIVE"/>
        <s v="SAATHI TRADING CO"/>
        <s v="SAERA ELECTRIC AUTO PVT LTD"/>
        <s v="SAGAR AGRO INDUSTRIES"/>
        <s v="SAGAR FABRICATIONS"/>
        <s v="SAGAS AUTOTIC PVT LTD"/>
        <s v="SAHKAR AGRO IND"/>
        <s v="SAHNIANAND E VEHICLES PVT LTD"/>
        <s v="SAI SAMEER POWER ELECTRIC VEHICLES PVT LTD"/>
        <s v="SAIFIAN SOLAR PVT LTD"/>
        <s v="SAINIK CYCLE MART"/>
        <s v="SAKSHAM TECH AUTO"/>
        <s v="SAKSHAM TECH AUTOMOBILES"/>
        <s v="SAKSHAM TRADING COMPANY"/>
        <s v="SAKTHI VIJAY INDUSTRIES"/>
        <s v="SAKTHI VINAYAKA ENGINEERING WORKS"/>
        <s v="SAME DEUTZ - FAHR INDIA (P) LTD."/>
        <s v="SAMEER ENGINEERING"/>
        <s v="SAMRAT ELECTRIC VEHICLE"/>
        <s v="SAN MOTORS LIMITED"/>
        <s v="SANCHAL AUTOMOBILES PVT LTD"/>
        <s v="SANT ENGG WORKS"/>
        <s v="SARAVANA ENGINEERING WORKS"/>
        <s v="SARAVANA TRAILER"/>
        <s v="SAS MOTORS LTD."/>
        <s v="SATHI MOTORS ELECTRIC VEHICLE PVT LTD"/>
        <s v="SAURYAA SHARYO CORPORATION"/>
        <s v="SBTEK E MOTO PVT LTD"/>
        <s v="SCOOTERS INDIA LTD"/>
        <s v="SEALION AUTOMOBILE PVT LTD"/>
        <s v="SEEKA E MOTORS PVT LTD"/>
        <s v="SEN AND PANDIT VOLTAGE CONTROL PVT LTD"/>
        <s v="SETH INDUSTRIAL CORPORATION"/>
        <s v="SETHJI INDUSTRIES"/>
        <s v="SF2 E VEHICLE PVT LTD"/>
        <s v="SGL INDUSTRIES"/>
        <s v="SGLLINE MOTORS PVT LTD"/>
        <s v="SHAH AGRO ENGG WORKS"/>
        <s v="SHAILENDRA AUTOS PVT LTD"/>
        <s v="SHAKTI AUTO GREEN"/>
        <s v="SHAKTIMAN AGRO INDUSTRIES"/>
        <s v="SHALYA AUTO SALES PVT LTD"/>
        <s v="SHAMMI ELECTRONICS"/>
        <s v="SHEMA E- VEHCILE &amp; SOLAR PVT LTD"/>
        <s v="SHERA ELECTRICAL AUTO PVT LTD"/>
        <s v="SHIGAN EVOLTZ LTD"/>
        <s v="SHINE METAL UDYOG PVT LTD"/>
        <s v="SHINE METAL UDYOG PVT LTD (UNIT- II)"/>
        <s v="SHINME ELECTRICAL VEHICLE PVT LTD"/>
        <s v="SHIV ENTERPRISES"/>
        <s v="SHIV OM INDIA"/>
        <s v="SHIV TRAILOR INDUSTRIES"/>
        <s v="SHIVA ENTERPRISES"/>
        <s v="SHIVGANGA ECOGREEN LLP"/>
        <s v="SHREE MARUTI NANDAN BUSINESSS (P) LTD"/>
        <s v="SHREE SIRIDI SAI MINERAL &amp; EXPORTS PVT. LTD"/>
        <s v="SHREYA ENGINEERS"/>
        <s v="SHRI ABIRAMI TRAILERS"/>
        <s v="SHRI ANGAMMAL ENGINEERING WORKS"/>
        <s v="SHRI ARUPADAYAN TRAILERS"/>
        <s v="SHRI BALAJI ENTERPRISES"/>
        <s v="SHRI BANASHANKARI ENG WORKS"/>
        <s v="SHRI BARSANA E-VEHICLES PVT LTD"/>
        <s v="SHRI CHAMUNDI MOPEDS"/>
        <s v="SHRI CHINNAMMAN ENGG. WORKS    "/>
        <s v="SHRI DEVIKA TRAILERS"/>
        <s v="SHRI GANAPATHY ENGG. WORKS"/>
        <s v="SHRI GANESH TRAILER"/>
        <s v="SHRI JYOTHI ENG. WORKS."/>
        <s v="SHRI KANAGA TRAILERS TANKAR"/>
        <s v="SHRI KUMAR TRAILERS EQUIPMENTS"/>
        <s v="SHRI LAKSHMI LATHE WORKS"/>
        <s v="SHRI LAXMI ENGINEERING WORKS"/>
        <s v="SHRI MODERN TRAILERS"/>
        <s v="SHRI NAMO ELECTRIC AUTOMOTIVE"/>
        <s v="SHRI RAM AUTO TECH PVT LTD"/>
        <s v="SHRI RAM AUTOMOBILES"/>
        <s v="SHRI RAM INDUSTRIES"/>
        <s v="SHRI SAKTHI VINAYAKA TRAILERS"/>
        <s v="SHRI SHIVSHANKAR ENTERPRISES"/>
        <s v="SHRI VAIRAMUTHU TRAILERS"/>
        <s v="SHRI VENKATESHWARA TRAILOR"/>
        <s v="SHRIRAJ ELECTRIC VEHICLES"/>
        <s v="SHRIRAM ASTRAL MOTOR CO"/>
        <s v="SHUBHAM MANUFACTURER"/>
        <s v="SIARSA ELECTRICALS PVT LTD"/>
        <s v="SIDHI DURGA ENGINEERING"/>
        <s v="SIMPLEENERGY PVT LTD"/>
        <s v="SINDHU MOTORS"/>
        <s v="SINGH AUTOMOBILES"/>
        <s v="SINGHAL ENTERPRISES"/>
        <s v="SIRF INDIA VEHICLES PVT LTD"/>
        <s v="SITYOG ENGINEERING PVT LTD"/>
        <s v="SIVA ENGINEERING WORKS"/>
        <s v="SIVASAKTHI ENGINEERING WORKS"/>
        <s v="SIWACH STEEL PVT LTD"/>
        <s v="SIX SENSES AUTOMOTIVE PVT LTD"/>
        <s v="SKS AUTOMOBILES (I) PVT LTD"/>
        <s v="SKS TRADE INDIA PVT LTD"/>
        <s v="SKYRIDE AUTOMOTIVE"/>
        <s v="SKYY RIDER ELECTRIC PRIVATE LIMITED"/>
        <s v="SMAP VEHICLES (IMPORTER: ELEGO MOTORS)"/>
        <s v="SMART ELECTRO MOTORS"/>
        <s v="SMARTOMATIC VEHICLES PRIVATE LIMITED"/>
        <s v="SMITH MOTORS PVT LTD"/>
        <s v="SML ISUZU LTD"/>
        <s v="SN SOLAR ENERGY"/>
        <s v="SOKUDO ELECTRIC INDIA PVT LTD"/>
        <s v="SONI E VEHICLE PVT LTD"/>
        <s v="SONI E VEHICLES PVT LTD"/>
        <s v="SPEED AUTO TECH"/>
        <s v="SPEEDWAYS ELECTRIC"/>
        <s v="SPEEDWAYS ELECTRIC PVT LTD"/>
        <s v="SPEEGO VEHICLES CO PVT LTD"/>
        <s v="SPEEGO VEHICLES PVT. LTD"/>
        <s v="SRD RENEWABLES"/>
        <s v="SRI RAMA TRAILERS"/>
        <s v="SRI SAI MARKETING"/>
        <s v="SRIVARU MOTORS PVT LTD"/>
        <s v="SSB INDISTRIES"/>
        <s v="SSEV ENTERPRISES PRIVATE LIMITED"/>
        <s v="SSV TECHNOLOGIES"/>
        <s v="STANDARD CORPORATION INDIA LTD"/>
        <s v="STAR BULL E MOTORS"/>
        <s v="STAR IGLOBAL AUTOMOTIVE PVT LTD"/>
        <s v="STAR INDUSTRIES"/>
        <s v="SUCCESSPATH MARKETING PVT LTD"/>
        <s v="SUDHRAJ ELECTRIC MOBILITY PVT. LTD."/>
        <s v="SUGANJI RARA ELECTRIC VEHICLE PVT LTD"/>
        <s v="SUMEC CO LTD (IMPORTER: ROUTE &amp; MARS EV LLP)"/>
        <s v="SUMFONL AUTO TRADERS PVT LTD"/>
        <s v="SUN AUTO"/>
        <s v="SUN INDUSTRIES"/>
        <s v="SUN MOTORS"/>
        <s v="SUN MOTORS PVT LTD"/>
        <s v="SUN SHINE ENGINEERING WORKS"/>
        <s v="SUNANDA GREENTECH PVT LTD"/>
        <s v="SUNARIYA MOTORS PVT LTD"/>
        <s v="SUNKU AUTO LTD"/>
        <s v="SUNLECTRA AUTO"/>
        <s v="SUNSHINE TECHNOLOGIES"/>
        <s v="SUNULTRA POWER SOLUTIONS PVT LTD"/>
        <s v="SUPER METRO INDUSTRIES"/>
        <s v="SUPER POWER MOTORS"/>
        <s v="SUPERECO AUTOMOTIVE CO"/>
        <s v="SUPERECO AUTOMOTIVE CO LLP"/>
        <s v="SUPERTECH EV LIMITED"/>
        <s v="SUPREME SALES AGENCY"/>
        <s v="SUPREME SMART POWER PVT LTD"/>
        <s v="SUPROVA ENTERPRISE"/>
        <s v="SURYA INTERNATIONAL"/>
        <s v="SURYA TRAILORS AND TANKERS"/>
        <s v="SUZUKI MOTORCYCLE INDIA PVT LTD"/>
        <s v="SVS ENTERPRISES"/>
        <s v="SWADESHI INDUSTRIES"/>
        <s v="SWARNCHAKRA AUTOMOBILES PVT LTD"/>
        <s v="SWASTIK"/>
        <s v="SWITCH MOBILITY AUTOMOTIVE LTD"/>
        <s v="SYNDICATE AUTO COMPONENTS"/>
        <s v="T U K INDUSTRIES"/>
        <s v="TAFE LIMITED"/>
        <s v="TAMILNADU MOPEDS LTD"/>
        <s v="TAO POWER PRIVATE LIMITED"/>
        <s v="TARA MAA MACHINERY"/>
        <s v="TATA MOTORS LTD"/>
        <s v="TATA MOTORS PASSENGER VEHICLES LTD"/>
        <s v="TATA PASSENGER ELECTRIC MOBILITY LTD"/>
        <s v="TAURUS ELECTRIC VEHICLES"/>
        <s v="TEJASGREEN AUTOMOTIVE PVT LTD"/>
        <s v="TELSA INC"/>
        <s v="TEREX CORPORATION"/>
        <s v="TERRA MOTORS INDIA PVT LTD"/>
        <s v="THE COMMERCIAL MOTORS LIMITED"/>
        <s v="THE COMMERCIAL MOTORS PVT LTD"/>
        <s v="THUKRAL ELECTRIC BIKES PVT LTD"/>
        <s v="TI CLEAN MOBILITY PVT LTD"/>
        <s v="TOP TEAM MACHINES PVT LTD"/>
        <s v="TORK MOTORS PVT LTD"/>
        <s v="TOYOTA KIRLOSKAR MOTOR PVT LTD"/>
        <s v="TOYOTA MATERIAL HANDLING INDIA PVT LTD"/>
        <s v="TRANSVAHAN TECHNOLOGIES INDIA PVT LTD"/>
        <s v="TRINITY ELECTRIC VEHICLES PVT LTD"/>
        <s v="TRISHIKA INDUSTRIES"/>
        <s v="TRUPART AUTOMOTIVE INDIA PVT LTD"/>
        <s v="TRUZ INDUSTRIES"/>
        <s v="TSM ENGINEERING PVT LTD"/>
        <s v="TSR TRADE COM"/>
        <s v="TUFAN MOTORS PVT LTD"/>
        <s v="TUNWAL E MOTORS PVT LTD"/>
        <s v="TVS MOTOR COMPANY LTD"/>
        <s v="TWASHTRE AUTOMOTIVE PVT LTD"/>
        <s v="TWINKLE TRADCOM PVT LTD"/>
        <s v="TWO FRIENDS AUTO ELECTRIC CO"/>
        <s v="TYST DRIVE INDIA PVT LTD"/>
        <s v="U P TELELINKS LTD"/>
        <s v="U V MOTORS INDIA PVT LTD"/>
        <s v="U.P. TELELINKS LIMITED"/>
        <s v="ULTRAVIOLETTE AUTOMOTIVE PVT LTD"/>
        <s v="UMA  AUTO INDUSTRIES PVT. LTD"/>
        <s v="UMA AUTO INDUSTRIES PVT LTD"/>
        <s v="UMA MOTORS"/>
        <s v="UNIC"/>
        <s v="UNICORN DIGITAL SYSTEMS PVT LTD"/>
        <s v="UNIQUE AUTO ELECTRIC"/>
        <s v="UNIQUE ENTERPRISES"/>
        <s v="UNIQUE INTERNATIONAL"/>
        <s v="UNITED AUTO TRACTORS LTD      "/>
        <s v="UNITED TRANSMOVERS PVT LTD"/>
        <s v="UNIVERSAL LTD"/>
        <s v="URWASHI ENTERPRISES"/>
        <s v="USHASONS AUTO COMPONENTS"/>
        <s v="V V A ELECTRIC VEHICLE"/>
        <s v="V.T. ENGINEERING"/>
        <s v="V.T.ENGINEERING"/>
        <s v="V.V.A.AUTO INDUSTRIES PVT.LTD"/>
        <s v="VAHAK FUTURE SOLUTIONS LLP"/>
        <s v="VANI ELECTRIC VEHICLES PVT LTD"/>
        <s v="VARIOUS INNOVATIVE SYSTEMS HYBRID NANO UTILITIES"/>
        <s v="VAUXHALL MOTORS LTD"/>
        <s v="VE COMMERCIAL VEHICLES LTD"/>
        <s v="VEANCO AUTOMOTIVES PVT LTD"/>
        <s v="VEECTERO E VEHICLES LLP"/>
        <s v="VEERA VAHANA UDYOG PRIVATE LIMITED"/>
        <s v="VEHICLE FACTORY JABALPUR"/>
        <s v="VENUS AUTO INDUSTRIES         "/>
        <s v="VENUS AUTO WHEELS PVT LTD"/>
        <s v="VGLAN BUILDCON PRIVATE LIMITED"/>
        <s v="VGLAN BUILDCON PVT LTD"/>
        <s v="VIBGYOR  VEHICLES LIMITED"/>
        <s v="VICTOR AGRO INDUSTRIES"/>
        <s v="VICTORIA E VEHICLES PVT. LTD"/>
        <s v="VICTORY ELECTRIC INTERNATIONAL"/>
        <s v="VIJAYA ELECTRIC AUTO PVT LTD"/>
        <s v="VIJAYALAKSHIMI ENGG WORKS"/>
        <s v="VIJAYS COOLMAX PRIVATE LIMITED"/>
        <s v="VIJAYSHREE AUTOCOM LIMITED"/>
        <s v="VIJEX STEEL FABRICATION"/>
        <s v="VIMAL UNIVERSAL TRADE PVT LTD"/>
        <s v="VINAYAK INDUSTRIES"/>
        <s v="VINCI INDUSTRIAL CORPORATION"/>
        <s v="VINTAGE VEHICLES"/>
        <s v="VISHAL ENTERPRISES"/>
        <s v="VISHALA E-VEHICLES INDUSTRIES PRIVATE LIMITED"/>
        <s v="VISHWAKARMA GNG INDUSTRY"/>
        <s v="VISHWARUP ENTERPRISE"/>
        <s v="VISHWAS TRAILER WELD WORK"/>
        <s v="VITAN JAGADA AUTOMOBILE PVT LTD"/>
        <s v="VOLKSWAGEN INDIA PVT LTD"/>
        <s v="VOLMAC ENGINEERING PVT LTD"/>
        <s v="VOLTAIC INDUSTRIES PVT LTD"/>
        <s v="VOLTAS LIMITED"/>
        <s v="VOLVO AUTO INDIA PVT LTD"/>
        <s v="VORC MOTORS PVT LTD"/>
        <s v="VRINDA ENTERPRISES"/>
        <s v="VSL INDUSTRIES"/>
        <s v="VVA AUTO INDUSTRIES PVT LTD"/>
        <s v="WARDWIZARD INNOVATIONS &amp; MOBILITY LIMITED"/>
        <s v="WARIVO MOTOR INDIA PVT LTD"/>
        <s v="WASAN E-MOBILITY SOLUTIONS PVT LTD"/>
        <s v="WELCOME E RICKSHAW"/>
        <s v="WELKIN HEALTHCARE PVT LTD"/>
        <s v="WHITE CARBON MOTORS PVT LTD"/>
        <s v="WIRTGEN INDIA PVT LTD"/>
        <s v="WOX COOLERS PVT LTD"/>
        <s v="WUXI DONGMA (IMPORTER: DYNAM PRECISION)"/>
        <s v="WUXI JIYAYI (IMPORTER: IZANAU ELECTRIC LLP)"/>
        <s v="WUXI MAYA (IMPORTER: DYNAMO ELECTRIC P. LTD.)"/>
        <s v="WUXI NOOMA (IMPORTER: KKL HITECH EV)"/>
        <s v="WUXI NOOMA (IMPORTER: SMARTNK  ELECTRIC VEHICLE)"/>
        <s v="WUXI SAIGE (IMPORTER: DM GREEN ENERGY)"/>
        <s v="WUXI SAIGE (IMPORTER: ELECTRO-TECH)"/>
        <s v="WUXI SAIGE (IMPORTER: E-VISHWA ELECTOBIKE)"/>
        <s v="WUXI SAIGE (IMPORTER: NGAGE IMPEX)"/>
        <s v="WUXI SAIGE (IMPORTER: WARIVO MOTOR)"/>
        <s v="WUXI SAIGE (IMPORTER: ZELIO AUTO PVT.LTD.)"/>
        <s v="WUXI SAIGE ELECTRIC (IMPORTER: DELTA AUTOCORP LLP)"/>
        <s v="WUXI SAIGE ELECTRIC (IMPORTER: GLORIOUS DIGITAL)"/>
        <s v="WUXI SHENGBAO (IMPORTER:ELECTRIC ONE ENERGY)"/>
        <s v="WUXI SHENGBAO (IMPORTER:SHEMA E-VEHICLE)"/>
        <s v="WUXI TENGHUI (IMPORTER: BOHRE ELECTRIC)"/>
        <s v="WUXI TENGHUI (IMPORTER: FEZORA INDIA)"/>
        <s v="WUXI TENGHUI (IMPORTER: FLYCON MOTORS)"/>
        <s v="WUXI TENGHUI (IMPORTER: FRANKLIN EV INDIA)"/>
        <s v="WUXI TENGHUI (IMPORTER: HOP ELECTRIC MOBILITY)"/>
        <s v="WUXI TENGHUI (IMPORTER: JAIDKA POWER)"/>
        <s v="WUXI TENGHUI (IMPORTER: JOZHI SERVICES)"/>
        <s v="WUXI TENGHUI (IMPORTER: RADHA MOBILITIES LLP)"/>
        <s v="WUXI TENGHUI (IMPORTER: REMARK ELECTRIC)"/>
        <s v="WUXI TENGHUI (IMPORTER: SEEKA E MOTORS)"/>
        <s v="WUXI TENGHUI INTERNATIONAL (IMPORTER: FEZORA)"/>
        <s v="WUXI TENGHUI INTERNATIONAL (IMPORTER: FRANKLIN EV)"/>
        <s v="WUXI TOURWE (IMPORTER: GOREEN E-MOBILITY)"/>
        <s v="XPLORE AUTOMOTIVE PVT LTD"/>
        <s v="XXPLORE AUTOMATIVE PVT LTD"/>
        <s v="XXPLORE AUTOMOTIVE PVT. LIMITED"/>
        <s v="Y.C.ELECTRIC VEHICLE"/>
        <s v="YAARI AUTOMOBILES PVT LTD"/>
        <s v="YANGGUANG LINGMU (IMPORTER: DAWNGATE BUSINESS)"/>
        <s v="YANGGUANG LINGMU (IMPORTER: DURGA FILTERS)"/>
        <s v="YANGGUANG LINGMU (IMPORTER: ECOINDIA)"/>
        <s v="YANGGUANG LINGMU (IMPORTER: FLYCON MOTORS)"/>
        <s v="YANGGUANG LINGMU (IMPORTER: REMARK ELECTRIC)"/>
        <s v="YANGGUANG LINGMU (IMPORTER: XWLS ELECTRIC)"/>
        <s v="YC ELECTRIC VEHICLE"/>
        <s v="YC ELECTRIC VEHICLE PVT LTD"/>
        <s v="YEZDI MOTORS LTD"/>
        <s v="YOUYAKU ELECTRIC (IMPORTER: HOUSTAN INNOVATION)"/>
        <s v="YOUYAKU ELECTRIC (IMPORTER: SASDAL ENTERPRISES)"/>
        <s v="YOUYAKU ELECTRIC (IMPORTER: SHEMA E-VEHICLE)"/>
        <s v="YOUYAKU ELECTRIC (IMPORTER: SMOBILITY EV)"/>
        <s v="YOUYAKU ELECTRIC (IMPORTER: TVISI ELECTRIC)"/>
        <s v="YOUYAKU ELECTRIC (IMPORTER:IME VEHICLES PVT LTD)"/>
        <s v="YOUYAKU ELECTRIC (IMPORTER:KRISHIKA EV INDIA)"/>
        <s v="YOUYAKU ELECTRIC (IMPORTER:NEWTRON ELECTRIC)"/>
        <s v="YOUYAKU ELECTRIC (IMPORTER:ONZO EV)"/>
        <s v="YUVRAJ INTERNATIONAL"/>
        <s v="ZAP (HK) (IMPORTER: IZANAU ELECTRIC)"/>
        <s v="ZAP (IMPORTER:ELLYSIUM AUTOMOTIVES PVT LTD)"/>
        <s v="ZBEE INDIA PVT LTD"/>
        <s v="ZENIAK INNOVATION INDIA LTD"/>
        <s v="ZENTHIUM EV PVT LTD"/>
        <s v="ZEOPLUS AXIS INDIA PVT. LTD."/>
        <s v="ZERO 21 RENEWABLE ENERGY SOLUTIONS PVT LTD"/>
        <s v="ZESAR MOTORS PVT LTD"/>
        <s v="ZHEJIANG LUYUAN (IMPORTER: DYNAM EV TECH)"/>
        <s v="ZHEJIANG TIANYING  (IMPORTER: NEWTRON ELECTRIC)"/>
        <s v="ZHONGHUALONG (IMPORTER: POWORO PVT LTD)"/>
        <s v="ZHONGXING (IMPORTER:GREENO AUTOMOBILE)"/>
        <s v="ZOHAN TRADERS AND BIG METRO"/>
      </sharedItems>
    </cacheField>
    <cacheField name="2015" numFmtId="0">
      <sharedItems containsSemiMixedTypes="0" containsString="0" containsNumber="1" containsInteger="1" minValue="0" maxValue="1708" count="48">
        <n v="0"/>
        <n v="6"/>
        <n v="1"/>
        <n v="31"/>
        <n v="35"/>
        <n v="161"/>
        <n v="37"/>
        <n v="669"/>
        <n v="2"/>
        <n v="4"/>
        <n v="16"/>
        <n v="10"/>
        <n v="178"/>
        <n v="44"/>
        <n v="3"/>
        <n v="15"/>
        <n v="33"/>
        <n v="254"/>
        <n v="63"/>
        <n v="19"/>
        <n v="92"/>
        <n v="134"/>
        <n v="119"/>
        <n v="26"/>
        <n v="13"/>
        <n v="29"/>
        <n v="8"/>
        <n v="39"/>
        <n v="5"/>
        <n v="877"/>
        <n v="23"/>
        <n v="462"/>
        <n v="9"/>
        <n v="51"/>
        <n v="110"/>
        <n v="1708"/>
        <n v="40"/>
        <n v="56"/>
        <n v="38"/>
        <n v="140"/>
        <n v="7"/>
        <n v="227"/>
        <n v="17"/>
        <n v="326"/>
        <n v="165"/>
        <n v="22"/>
        <n v="107"/>
        <n v="780"/>
      </sharedItems>
    </cacheField>
    <cacheField name="2016" numFmtId="0">
      <sharedItems containsSemiMixedTypes="0" containsString="0" containsNumber="1" containsInteger="1" minValue="0" maxValue="13401"/>
    </cacheField>
    <cacheField name="2017" numFmtId="0">
      <sharedItems containsSemiMixedTypes="0" containsString="0" containsNumber="1" containsInteger="1" minValue="0" maxValue="15094"/>
    </cacheField>
    <cacheField name="2018" numFmtId="0">
      <sharedItems containsSemiMixedTypes="0" containsString="0" containsNumber="1" containsInteger="1" minValue="0" maxValue="10816"/>
    </cacheField>
    <cacheField name="2019" numFmtId="0">
      <sharedItems containsSemiMixedTypes="0" containsString="0" containsNumber="1" containsInteger="1" minValue="0" maxValue="13213"/>
    </cacheField>
    <cacheField name="2020" numFmtId="0">
      <sharedItems containsSemiMixedTypes="0" containsString="0" containsNumber="1" containsInteger="1" minValue="0" maxValue="9543"/>
    </cacheField>
    <cacheField name="2021" numFmtId="0">
      <sharedItems containsSemiMixedTypes="0" containsString="0" containsNumber="1" containsInteger="1" minValue="0" maxValue="46260"/>
    </cacheField>
    <cacheField name="2022" numFmtId="0">
      <sharedItems containsSemiMixedTypes="0" containsString="0" containsNumber="1" containsInteger="1" minValue="0" maxValue="109398"/>
    </cacheField>
    <cacheField name="2023" numFmtId="0">
      <sharedItems containsSemiMixedTypes="0" containsString="0" containsNumber="1" containsInteger="1" minValue="0" maxValue="267355"/>
    </cacheField>
    <cacheField name="2024" numFmtId="0">
      <sharedItems containsSemiMixedTypes="0" containsString="0" containsNumber="1" containsInteger="1" minValue="0" maxValue="211273"/>
    </cacheField>
    <cacheField name="Total sales" numFmtId="0">
      <sharedItems containsSemiMixedTypes="0" containsString="0" containsNumber="1" containsInteger="1" minValue="1" maxValue="588266"/>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Hardik" refreshedDate="46265.614173263886" createdVersion="5" refreshedVersion="5" minRefreshableVersion="3" recordCount="284">
  <cacheSource type="worksheet">
    <worksheetSource name="Table10"/>
  </cacheSource>
  <cacheFields count="18">
    <cacheField name="Date" numFmtId="0">
      <sharedItems containsSemiMixedTypes="0" containsDate="1" containsString="0" containsMixedTypes="1" minDate="1899-12-31T00:00:00" maxDate="2024-08-02T00:00:00" count="284">
        <n v="0"/>
        <d v="2001-01-01T00:00:00"/>
        <d v="2002-01-01T00:00:00"/>
        <d v="2003-01-01T00:00:00"/>
        <d v="2004-01-01T00:00:00"/>
        <d v="2005-01-01T00:00:00"/>
        <d v="2006-01-01T00:00:00"/>
        <d v="2007-01-01T00:00:00"/>
        <d v="2008-01-01T00:00:00"/>
        <d v="2009-01-01T00:00:00"/>
        <d v="2010-01-01T00:00:00"/>
        <d v="2011-01-01T00:00:00"/>
        <d v="2012-01-01T00:00:00"/>
        <d v="2013-01-01T00:00:00"/>
        <d v="2014-01-01T00:00:00"/>
        <d v="2015-01-01T00:00:00"/>
        <d v="2016-01-01T00:00:00"/>
        <d v="2017-01-01T00:00:00"/>
        <d v="2018-01-01T00:00:00"/>
        <d v="2019-01-01T00:00:00"/>
        <d v="2020-01-01T00:00:00"/>
        <d v="2021-01-01T00:00:00"/>
        <d v="2022-01-01T00:00:00"/>
        <d v="2023-01-01T00:00:00"/>
        <d v="2024-01-01T00:00:00"/>
        <d v="2001-02-01T00:00:00"/>
        <d v="2002-02-01T00:00:00"/>
        <d v="2003-02-01T00:00:00"/>
        <d v="2004-02-01T00:00:00"/>
        <d v="2005-02-01T00:00:00"/>
        <d v="2006-02-01T00:00:00"/>
        <d v="2007-02-01T00:00:00"/>
        <d v="2008-02-01T00:00:00"/>
        <d v="2009-02-01T00:00:00"/>
        <d v="2010-02-01T00:00:00"/>
        <d v="2011-02-01T00:00:00"/>
        <d v="2012-02-01T00:00:00"/>
        <d v="2013-02-01T00:00:00"/>
        <d v="2014-02-01T00:00:00"/>
        <d v="2015-02-01T00:00:00"/>
        <d v="2016-02-01T00:00:00"/>
        <d v="2017-02-01T00:00:00"/>
        <d v="2018-02-01T00:00:00"/>
        <d v="2019-02-01T00:00:00"/>
        <d v="2020-02-01T00:00:00"/>
        <d v="2021-02-01T00:00:00"/>
        <d v="2022-02-01T00:00:00"/>
        <d v="2023-02-01T00:00:00"/>
        <d v="2024-02-01T00:00:00"/>
        <d v="2001-03-01T00:00:00"/>
        <d v="2002-03-01T00:00:00"/>
        <d v="2003-03-01T00:00:00"/>
        <d v="2004-03-01T00:00:00"/>
        <d v="2005-03-01T00:00:00"/>
        <d v="2006-03-01T00:00:00"/>
        <d v="2007-03-01T00:00:00"/>
        <d v="2008-03-01T00:00:00"/>
        <d v="2009-03-01T00:00:00"/>
        <d v="2010-03-01T00:00:00"/>
        <d v="2011-03-01T00:00:00"/>
        <d v="2012-03-01T00:00:00"/>
        <d v="2013-03-01T00:00:00"/>
        <d v="2014-03-01T00:00:00"/>
        <d v="2015-03-01T00:00:00"/>
        <d v="2016-03-01T00:00:00"/>
        <d v="2017-03-01T00:00:00"/>
        <d v="2018-03-01T00:00:00"/>
        <d v="2019-03-01T00:00:00"/>
        <d v="2020-03-01T00:00:00"/>
        <d v="2021-03-01T00:00:00"/>
        <d v="2022-03-01T00:00:00"/>
        <d v="2023-03-01T00:00:00"/>
        <d v="2024-03-01T00:00:00"/>
        <d v="2001-04-01T00:00:00"/>
        <d v="2002-04-01T00:00:00"/>
        <d v="2003-04-01T00:00:00"/>
        <d v="2004-04-01T00:00:00"/>
        <d v="2005-04-01T00:00:00"/>
        <d v="2006-04-01T00:00:00"/>
        <d v="2007-04-01T00:00:00"/>
        <d v="2008-04-01T00:00:00"/>
        <d v="2009-04-01T00:00:00"/>
        <d v="2010-04-01T00:00:00"/>
        <d v="2011-04-01T00:00:00"/>
        <d v="2012-04-01T00:00:00"/>
        <d v="2013-04-01T00:00:00"/>
        <d v="2014-04-01T00:00:00"/>
        <d v="2015-04-01T00:00:00"/>
        <d v="2016-04-01T00:00:00"/>
        <d v="2017-04-01T00:00:00"/>
        <d v="2018-04-01T00:00:00"/>
        <d v="2019-04-01T00:00:00"/>
        <d v="2020-04-01T00:00:00"/>
        <d v="2021-04-01T00:00:00"/>
        <d v="2022-04-01T00:00:00"/>
        <d v="2023-04-01T00:00:00"/>
        <d v="2024-04-01T00:00:00"/>
        <d v="2001-05-01T00:00:00"/>
        <d v="2002-05-01T00:00:00"/>
        <d v="2003-05-01T00:00:00"/>
        <d v="2004-05-01T00:00:00"/>
        <d v="2005-05-01T00:00:00"/>
        <d v="2006-05-01T00:00:00"/>
        <d v="2007-05-01T00:00:00"/>
        <d v="2008-05-01T00:00:00"/>
        <d v="2009-05-01T00:00:00"/>
        <d v="2010-05-01T00:00:00"/>
        <d v="2012-05-01T00:00:00"/>
        <d v="2013-05-01T00:00:00"/>
        <d v="2014-05-01T00:00:00"/>
        <d v="2015-05-01T00:00:00"/>
        <d v="2016-05-01T00:00:00"/>
        <d v="2017-05-01T00:00:00"/>
        <d v="2018-05-01T00:00:00"/>
        <d v="2019-05-01T00:00:00"/>
        <d v="2020-05-01T00:00:00"/>
        <d v="2021-05-01T00:00:00"/>
        <d v="2022-05-01T00:00:00"/>
        <d v="2023-05-01T00:00:00"/>
        <d v="2024-05-01T00:00:00"/>
        <d v="2001-06-01T00:00:00"/>
        <d v="2002-06-01T00:00:00"/>
        <d v="2003-06-01T00:00:00"/>
        <d v="2004-06-01T00:00:00"/>
        <d v="2005-06-01T00:00:00"/>
        <d v="2006-06-01T00:00:00"/>
        <d v="2007-06-01T00:00:00"/>
        <d v="2008-06-01T00:00:00"/>
        <d v="2009-06-01T00:00:00"/>
        <d v="2010-06-01T00:00:00"/>
        <d v="2011-06-01T00:00:00"/>
        <d v="2012-06-01T00:00:00"/>
        <d v="2013-06-01T00:00:00"/>
        <d v="2014-06-01T00:00:00"/>
        <d v="2015-06-01T00:00:00"/>
        <d v="2016-06-01T00:00:00"/>
        <d v="2017-06-01T00:00:00"/>
        <d v="2018-06-01T00:00:00"/>
        <d v="2019-06-01T00:00:00"/>
        <d v="2020-06-01T00:00:00"/>
        <d v="2021-06-01T00:00:00"/>
        <d v="2022-06-01T00:00:00"/>
        <d v="2023-06-01T00:00:00"/>
        <d v="2024-06-01T00:00:00"/>
        <d v="2001-07-01T00:00:00"/>
        <d v="2002-07-01T00:00:00"/>
        <d v="2003-07-01T00:00:00"/>
        <d v="2004-07-01T00:00:00"/>
        <d v="2005-07-01T00:00:00"/>
        <d v="2006-07-01T00:00:00"/>
        <d v="2007-07-01T00:00:00"/>
        <d v="2008-07-01T00:00:00"/>
        <d v="2009-07-01T00:00:00"/>
        <d v="2010-07-01T00:00:00"/>
        <d v="2011-07-01T00:00:00"/>
        <d v="2012-07-01T00:00:00"/>
        <d v="2013-07-01T00:00:00"/>
        <d v="2014-07-01T00:00:00"/>
        <d v="2015-07-01T00:00:00"/>
        <d v="2016-07-01T00:00:00"/>
        <d v="2017-07-01T00:00:00"/>
        <d v="2018-07-01T00:00:00"/>
        <d v="2019-07-01T00:00:00"/>
        <d v="2020-07-01T00:00:00"/>
        <d v="2021-07-01T00:00:00"/>
        <d v="2022-07-01T00:00:00"/>
        <d v="2023-07-01T00:00:00"/>
        <d v="2024-07-01T00:00:00"/>
        <d v="2001-08-01T00:00:00"/>
        <d v="2002-08-01T00:00:00"/>
        <d v="2003-08-01T00:00:00"/>
        <d v="2004-08-01T00:00:00"/>
        <d v="2005-08-01T00:00:00"/>
        <d v="2006-08-01T00:00:00"/>
        <d v="2007-08-01T00:00:00"/>
        <d v="2008-08-01T00:00:00"/>
        <d v="2009-08-01T00:00:00"/>
        <d v="2010-08-01T00:00:00"/>
        <d v="2011-08-01T00:00:00"/>
        <d v="2012-08-01T00:00:00"/>
        <d v="2013-08-01T00:00:00"/>
        <d v="2014-08-01T00:00:00"/>
        <d v="2015-08-01T00:00:00"/>
        <d v="2016-08-01T00:00:00"/>
        <d v="2017-08-01T00:00:00"/>
        <d v="2018-08-01T00:00:00"/>
        <d v="2019-08-01T00:00:00"/>
        <d v="2020-08-01T00:00:00"/>
        <d v="2021-08-01T00:00:00"/>
        <d v="2022-08-01T00:00:00"/>
        <d v="2023-08-01T00:00:00"/>
        <d v="2024-08-01T00:00:00"/>
        <d v="2001-09-01T00:00:00"/>
        <d v="2002-09-01T00:00:00"/>
        <d v="2003-09-01T00:00:00"/>
        <d v="2004-09-01T00:00:00"/>
        <d v="2005-09-01T00:00:00"/>
        <d v="2006-09-01T00:00:00"/>
        <d v="2007-09-01T00:00:00"/>
        <d v="2008-09-01T00:00:00"/>
        <d v="2009-09-01T00:00:00"/>
        <d v="2010-09-01T00:00:00"/>
        <d v="2011-09-01T00:00:00"/>
        <d v="2012-09-01T00:00:00"/>
        <d v="2013-09-01T00:00:00"/>
        <d v="2014-09-01T00:00:00"/>
        <d v="2015-09-01T00:00:00"/>
        <d v="2016-09-01T00:00:00"/>
        <d v="2017-09-01T00:00:00"/>
        <d v="2018-09-01T00:00:00"/>
        <d v="2019-09-01T00:00:00"/>
        <d v="2020-09-01T00:00:00"/>
        <d v="2021-09-01T00:00:00"/>
        <d v="2022-09-01T00:00:00"/>
        <d v="2023-09-01T00:00:00"/>
        <d v="2001-10-01T00:00:00"/>
        <d v="2002-10-01T00:00:00"/>
        <d v="2003-10-01T00:00:00"/>
        <d v="2004-10-01T00:00:00"/>
        <d v="2005-10-01T00:00:00"/>
        <d v="2006-10-01T00:00:00"/>
        <d v="2007-10-01T00:00:00"/>
        <d v="2008-10-01T00:00:00"/>
        <d v="2009-10-01T00:00:00"/>
        <d v="2010-10-01T00:00:00"/>
        <d v="2011-10-01T00:00:00"/>
        <d v="2012-10-01T00:00:00"/>
        <d v="2013-10-01T00:00:00"/>
        <d v="2014-10-01T00:00:00"/>
        <d v="2015-10-01T00:00:00"/>
        <d v="2016-10-01T00:00:00"/>
        <d v="2017-10-01T00:00:00"/>
        <d v="2018-10-01T00:00:00"/>
        <d v="2019-10-01T00:00:00"/>
        <d v="2020-10-01T00:00:00"/>
        <d v="2021-10-01T00:00:00"/>
        <d v="2022-10-01T00:00:00"/>
        <d v="2023-10-01T00:00:00"/>
        <d v="2001-11-01T00:00:00"/>
        <d v="2002-11-01T00:00:00"/>
        <d v="2003-11-01T00:00:00"/>
        <d v="2004-11-01T00:00:00"/>
        <d v="2005-11-01T00:00:00"/>
        <d v="2006-11-01T00:00:00"/>
        <d v="2007-11-01T00:00:00"/>
        <d v="2008-11-01T00:00:00"/>
        <d v="2009-11-01T00:00:00"/>
        <d v="2010-11-01T00:00:00"/>
        <d v="2011-11-01T00:00:00"/>
        <d v="2012-11-01T00:00:00"/>
        <d v="2013-11-01T00:00:00"/>
        <d v="2014-11-01T00:00:00"/>
        <d v="2015-11-01T00:00:00"/>
        <d v="2016-11-01T00:00:00"/>
        <d v="2017-11-01T00:00:00"/>
        <d v="2018-11-01T00:00:00"/>
        <d v="2019-11-01T00:00:00"/>
        <d v="2020-11-01T00:00:00"/>
        <d v="2021-11-01T00:00:00"/>
        <d v="2022-11-01T00:00:00"/>
        <d v="2023-11-01T00:00:00"/>
        <d v="2001-12-01T00:00:00"/>
        <d v="2002-12-01T00:00:00"/>
        <d v="2003-12-01T00:00:00"/>
        <d v="2004-12-01T00:00:00"/>
        <d v="2005-12-01T00:00:00"/>
        <d v="2006-12-01T00:00:00"/>
        <d v="2007-12-01T00:00:00"/>
        <d v="2008-12-01T00:00:00"/>
        <d v="2009-12-01T00:00:00"/>
        <d v="2010-12-01T00:00:00"/>
        <d v="2011-12-01T00:00:00"/>
        <d v="2012-12-01T00:00:00"/>
        <d v="2013-12-01T00:00:00"/>
        <d v="2014-12-01T00:00:00"/>
        <d v="2015-12-01T00:00:00"/>
        <d v="2016-12-01T00:00:00"/>
        <d v="2017-12-01T00:00:00"/>
        <d v="2018-12-01T00:00:00"/>
        <d v="2019-12-01T00:00:00"/>
        <d v="2020-12-01T00:00:00"/>
        <d v="2021-12-01T00:00:00"/>
        <d v="2022-12-01T00:00:00"/>
        <d v="2023-12-01T00:00:00"/>
      </sharedItems>
    </cacheField>
    <cacheField name="FOUR WHEELER (INVALID CARRIAGE)" numFmtId="0">
      <sharedItems containsSemiMixedTypes="0" containsString="0" containsNumber="1" containsInteger="1" minValue="0" maxValue="10" count="9">
        <n v="0"/>
        <n v="1"/>
        <n v="7"/>
        <n v="3"/>
        <n v="10"/>
        <n v="5"/>
        <n v="9"/>
        <n v="2"/>
        <n v="4"/>
      </sharedItems>
    </cacheField>
    <cacheField name="HEAVY GOODS VEHICLE" numFmtId="0">
      <sharedItems containsSemiMixedTypes="0" containsString="0" containsNumber="1" containsInteger="1" minValue="0" maxValue="183"/>
    </cacheField>
    <cacheField name="HEAVY MOTOR VEHICLE" numFmtId="0">
      <sharedItems containsSemiMixedTypes="0" containsString="0" containsNumber="1" containsInteger="1" minValue="0" maxValue="6"/>
    </cacheField>
    <cacheField name="HEAVY PASSENGER VEHICLE" numFmtId="0">
      <sharedItems containsSemiMixedTypes="0" containsString="0" containsNumber="1" containsInteger="1" minValue="0" maxValue="543"/>
    </cacheField>
    <cacheField name="LIGHT GOODS VEHICLE" numFmtId="0">
      <sharedItems containsSemiMixedTypes="0" containsString="0" containsNumber="1" containsInteger="1" minValue="0" maxValue="1645"/>
    </cacheField>
    <cacheField name="LIGHT MOTOR VEHICLE" numFmtId="0">
      <sharedItems containsSemiMixedTypes="0" containsString="0" containsNumber="1" containsInteger="1" minValue="0" maxValue="7609"/>
    </cacheField>
    <cacheField name="LIGHT PASSENGER VEHICLE" numFmtId="0">
      <sharedItems containsSemiMixedTypes="0" containsString="0" containsNumber="1" containsInteger="1" minValue="0" maxValue="1787"/>
    </cacheField>
    <cacheField name="MEDIUM GOODS VEHICLE" numFmtId="0">
      <sharedItems containsSemiMixedTypes="0" containsString="0" containsNumber="1" containsInteger="1" minValue="0" maxValue="4"/>
    </cacheField>
    <cacheField name="MEDIUM PASSENGER VEHICLE" numFmtId="0">
      <sharedItems containsSemiMixedTypes="0" containsString="0" containsNumber="1" containsInteger="1" minValue="0" maxValue="86"/>
    </cacheField>
    <cacheField name="MEDIUM MOTOR VEHICLE" numFmtId="0">
      <sharedItems containsSemiMixedTypes="0" containsString="0" containsNumber="1" containsInteger="1" minValue="0" maxValue="20"/>
    </cacheField>
    <cacheField name="OTHER THAN MENTIONED ABOVE" numFmtId="0">
      <sharedItems containsSemiMixedTypes="0" containsString="0" containsNumber="1" containsInteger="1" minValue="0" maxValue="673"/>
    </cacheField>
    <cacheField name="THREE WHEELER(NT)" numFmtId="0">
      <sharedItems containsSemiMixedTypes="0" containsString="0" containsNumber="1" containsInteger="1" minValue="0" maxValue="70"/>
    </cacheField>
    <cacheField name="TWO WHEELER (INVALID CARRIAGE)" numFmtId="0">
      <sharedItems containsSemiMixedTypes="0" containsString="0" containsNumber="1" containsInteger="1" minValue="0" maxValue="24"/>
    </cacheField>
    <cacheField name="THREE WHEELER(T)" numFmtId="0">
      <sharedItems containsSemiMixedTypes="0" containsString="0" containsNumber="1" containsInteger="1" minValue="0" maxValue="60618"/>
    </cacheField>
    <cacheField name="TWO WHEELER(NT)" numFmtId="0">
      <sharedItems containsSemiMixedTypes="0" containsString="0" containsNumber="1" containsInteger="1" minValue="0" maxValue="137113"/>
    </cacheField>
    <cacheField name="TWO WHEELER(T)" numFmtId="0">
      <sharedItems containsSemiMixedTypes="0" containsString="0" containsNumber="1" containsInteger="1" minValue="0" maxValue="863"/>
    </cacheField>
    <cacheField name="Total Registration" numFmtId="0">
      <sharedItems containsSemiMixedTypes="0" containsString="0" containsNumber="1" containsInteger="1" minValue="0" maxValue="20981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ardik" refreshedDate="46265.61755949074" createdVersion="5" refreshedVersion="5" minRefreshableVersion="3" recordCount="16">
  <cacheSource type="worksheet">
    <worksheetSource name="Table12"/>
  </cacheSource>
  <cacheFields count="2">
    <cacheField name="Vehicle Class" numFmtId="0">
      <sharedItems count="16">
        <s v="FOUR WHEELER (INVALID CARRIAGE)"/>
        <s v="HEAVY GOODS VEHICLE"/>
        <s v="HEAVY MOTOR VEHICLE"/>
        <s v="HEAVY PASSENGER VEHICLE"/>
        <s v="LIGHT GOODS VEHICLE"/>
        <s v="LIGHT MOTOR VEHICLE"/>
        <s v="LIGHT PASSENGER VEHICLE"/>
        <s v="MEDIUM GOODS VEHICLE"/>
        <s v="MEDIUM MOTOR VEHICLE"/>
        <s v="MEDIUM PASSENGER VEHICLE"/>
        <s v="OTHER THAN MENTIONED ABOVE"/>
        <s v="THREE WHEELER(NT)"/>
        <s v="THREE WHEELER(T)"/>
        <s v="TWO WHEELER (INVALID CARRIAGE)"/>
        <s v="TWO WHEELER(NT)"/>
        <s v="TWO WHEELER(T)"/>
      </sharedItems>
    </cacheField>
    <cacheField name="Total Registration" numFmtId="3">
      <sharedItems containsSemiMixedTypes="0" containsString="0" containsNumber="1" containsInteger="1" minValue="21346" maxValue="27497164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saveData="0" refreshedBy="Hardik" refreshedDate="46268.685383217591" backgroundQuery="1" createdVersion="5" refreshedVersion="5" minRefreshableVersion="3" recordCount="0" supportSubquery="1" supportAdvancedDrill="1">
  <cacheSource type="external" connectionId="1"/>
  <cacheFields count="2">
    <cacheField name="[Measures].[Count of EV Maker]" caption="Count of EV Maker" numFmtId="0" hierarchy="7" level="32767"/>
    <cacheField name="[Table11].[State].[State]" caption="State" numFmtId="0" level="1">
      <sharedItems count="13">
        <s v="Andhra Pradesh"/>
        <s v="Delhi"/>
        <s v="Gujarat"/>
        <s v="Haryana"/>
        <s v="Karnataka"/>
        <s v="Madhya Pradesh"/>
        <s v="Maharashtra"/>
        <s v="Punjab"/>
        <s v="Rajasthan"/>
        <s v="Tamil Nadu"/>
        <s v="Telangana"/>
        <s v="Uttarakhand"/>
        <s v="West Bengal"/>
      </sharedItems>
    </cacheField>
  </cacheFields>
  <cacheHierarchies count="11">
    <cacheHierarchy uniqueName="[Table11].[State]" caption="State" attribute="1" defaultMemberUniqueName="[Table11].[State].[All]" allUniqueName="[Table11].[State].[All]" dimensionUniqueName="[Table11]" displayFolder="" count="2" memberValueDatatype="130" unbalanced="0">
      <fieldsUsage count="2">
        <fieldUsage x="-1"/>
        <fieldUsage x="1"/>
      </fieldsUsage>
    </cacheHierarchy>
    <cacheHierarchy uniqueName="[Table11].[No. of Operational PCS]" caption="No. of Operational PCS" attribute="1" defaultMemberUniqueName="[Table11].[No. of Operational PCS].[All]" allUniqueName="[Table11].[No. of Operational PCS].[All]" dimensionUniqueName="[Table11]" displayFolder="" count="2" memberValueDatatype="20" unbalanced="0"/>
    <cacheHierarchy uniqueName="[Table13].[EV Maker]" caption="EV Maker" attribute="1" defaultMemberUniqueName="[Table13].[EV Maker].[All]" allUniqueName="[Table13].[EV Maker].[All]" dimensionUniqueName="[Table13]" displayFolder="" count="2" memberValueDatatype="130" unbalanced="0"/>
    <cacheHierarchy uniqueName="[Table13].[Place]" caption="Place" attribute="1" defaultMemberUniqueName="[Table13].[Place].[All]" allUniqueName="[Table13].[Place].[All]" dimensionUniqueName="[Table13]" displayFolder="" count="2" memberValueDatatype="130" unbalanced="0"/>
    <cacheHierarchy uniqueName="[Table13].[State]" caption="State" attribute="1" defaultMemberUniqueName="[Table13].[State].[All]" allUniqueName="[Table13].[State].[All]" dimensionUniqueName="[Table13]" displayFolder="" count="2" memberValueDatatype="130" unbalanced="0"/>
    <cacheHierarchy uniqueName="[Measures].[Sum of No of Operational PCS]" caption="Sum of No of Operational PCS" measure="1" displayFolder="" measureGroup="Table1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Table13" count="0">
      <extLst>
        <ext xmlns:x15="http://schemas.microsoft.com/office/spreadsheetml/2010/11/main" uri="{B97F6D7D-B522-45F9-BDA1-12C45D357490}">
          <x15:cacheHierarchy aggregatedColumn="4"/>
        </ext>
      </extLst>
    </cacheHierarchy>
    <cacheHierarchy uniqueName="[Measures].[Count of EV Maker]" caption="Count of EV Maker" measure="1" displayFolder="" measureGroup="Table13" count="0" oneField="1">
      <fieldsUsage count="1">
        <fieldUsage x="0"/>
      </fieldsUsage>
      <extLst>
        <ext xmlns:x15="http://schemas.microsoft.com/office/spreadsheetml/2010/11/main" uri="{B97F6D7D-B522-45F9-BDA1-12C45D357490}">
          <x15:cacheHierarchy aggregatedColumn="2"/>
        </ext>
      </extLst>
    </cacheHierarchy>
    <cacheHierarchy uniqueName="[Measures].[__XL_Count Table13]" caption="__XL_Count Table13" measure="1" displayFolder="" measureGroup="Table13" count="0" hidden="1"/>
    <cacheHierarchy uniqueName="[Measures].[__XL_Count Table11]" caption="__XL_Count Table11" measure="1" displayFolder="" measureGroup="Table11" count="0" hidden="1"/>
    <cacheHierarchy uniqueName="[Measures].[__XL_Count of Models]" caption="__XL_Count of Models" measure="1" displayFolder="" count="0" hidden="1"/>
  </cacheHierarchies>
  <kpis count="0"/>
  <dimensions count="3">
    <dimension measure="1" name="Measures" uniqueName="[Measures]" caption="Measures"/>
    <dimension name="Table11" uniqueName="[Table11]" caption="Table11"/>
    <dimension name="Table13" uniqueName="[Table13]" caption="Table13"/>
  </dimensions>
  <measureGroups count="2">
    <measureGroup name="Table11" caption="Table11"/>
    <measureGroup name="Table13" caption="Table13"/>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ardik" refreshedDate="46268.689361458331" backgroundQuery="1" createdVersion="5" refreshedVersion="5" minRefreshableVersion="3" recordCount="0" supportSubquery="1" supportAdvancedDrill="1">
  <cacheSource type="external" connectionId="1"/>
  <cacheFields count="2">
    <cacheField name="[Measures].[Sum of No of Operational PCS]" caption="Sum of No of Operational PCS" numFmtId="0" hierarchy="5" level="32767"/>
    <cacheField name="[Table11].[State].[State]" caption="State" numFmtId="0" level="1">
      <sharedItems count="34">
        <s v="Andaman &amp; Nicobar"/>
        <s v="Andhra Pradesh"/>
        <s v="Arunachal Pradesh"/>
        <s v="Assam"/>
        <s v="Bihar"/>
        <s v="Chandigarh"/>
        <s v="Chhattisgarh"/>
        <s v="D&amp;D and DNH"/>
        <s v="Delhi"/>
        <s v="Goa"/>
        <s v="Gujarat"/>
        <s v="Haryana"/>
        <s v="Himachal Pradesh"/>
        <s v="Jammu and Kashmir"/>
        <s v="Jharkhand"/>
        <s v="Karnataka"/>
        <s v="Kerala"/>
        <s v="Lakshadweep"/>
        <s v="Madhya Pradesh"/>
        <s v="Maharashtra"/>
        <s v="Manipur"/>
        <s v="Meghalaya"/>
        <s v="Nagaland"/>
        <s v="Odisha"/>
        <s v="Pondicherry"/>
        <s v="Punjab"/>
        <s v="Rajasthan"/>
        <s v="Sikkim"/>
        <s v="Tamil Nadu"/>
        <s v="Telangana"/>
        <s v="Tripura"/>
        <s v="Uttar Pradesh"/>
        <s v="Uttarakhand"/>
        <s v="West Bengal"/>
      </sharedItems>
    </cacheField>
  </cacheFields>
  <cacheHierarchies count="11">
    <cacheHierarchy uniqueName="[Table11].[State]" caption="State" attribute="1" defaultMemberUniqueName="[Table11].[State].[All]" allUniqueName="[Table11].[State].[All]" dimensionUniqueName="[Table11]" displayFolder="" count="2" memberValueDatatype="130" unbalanced="0">
      <fieldsUsage count="2">
        <fieldUsage x="-1"/>
        <fieldUsage x="1"/>
      </fieldsUsage>
    </cacheHierarchy>
    <cacheHierarchy uniqueName="[Table11].[No. of Operational PCS]" caption="No. of Operational PCS" attribute="1" defaultMemberUniqueName="[Table11].[No. of Operational PCS].[All]" allUniqueName="[Table11].[No. of Operational PCS].[All]" dimensionUniqueName="[Table11]" displayFolder="" count="2" memberValueDatatype="20" unbalanced="0"/>
    <cacheHierarchy uniqueName="[Table13].[EV Maker]" caption="EV Maker" attribute="1" defaultMemberUniqueName="[Table13].[EV Maker].[All]" allUniqueName="[Table13].[EV Maker].[All]" dimensionUniqueName="[Table13]" displayFolder="" count="2" memberValueDatatype="130" unbalanced="0"/>
    <cacheHierarchy uniqueName="[Table13].[Place]" caption="Place" attribute="1" defaultMemberUniqueName="[Table13].[Place].[All]" allUniqueName="[Table13].[Place].[All]" dimensionUniqueName="[Table13]" displayFolder="" count="2" memberValueDatatype="130" unbalanced="0"/>
    <cacheHierarchy uniqueName="[Table13].[State]" caption="State" attribute="1" defaultMemberUniqueName="[Table13].[State].[All]" allUniqueName="[Table13].[State].[All]" dimensionUniqueName="[Table13]" displayFolder="" count="2" memberValueDatatype="130" unbalanced="0"/>
    <cacheHierarchy uniqueName="[Measures].[Sum of No of Operational PCS]" caption="Sum of No of Operational PCS" measure="1" displayFolder="" measureGroup="Table11" count="0" oneField="1">
      <fieldsUsage count="1">
        <fieldUsage x="0"/>
      </fieldsUsage>
      <extLst>
        <ext xmlns:x15="http://schemas.microsoft.com/office/spreadsheetml/2010/11/main" uri="{B97F6D7D-B522-45F9-BDA1-12C45D357490}">
          <x15:cacheHierarchy aggregatedColumn="1"/>
        </ext>
      </extLst>
    </cacheHierarchy>
    <cacheHierarchy uniqueName="[Measures].[Count of State]" caption="Count of State" measure="1" displayFolder="" measureGroup="Table13" count="0">
      <extLst>
        <ext xmlns:x15="http://schemas.microsoft.com/office/spreadsheetml/2010/11/main" uri="{B97F6D7D-B522-45F9-BDA1-12C45D357490}">
          <x15:cacheHierarchy aggregatedColumn="4"/>
        </ext>
      </extLst>
    </cacheHierarchy>
    <cacheHierarchy uniqueName="[Measures].[Count of EV Maker]" caption="Count of EV Maker" measure="1" displayFolder="" measureGroup="Table13" count="0">
      <extLst>
        <ext xmlns:x15="http://schemas.microsoft.com/office/spreadsheetml/2010/11/main" uri="{B97F6D7D-B522-45F9-BDA1-12C45D357490}">
          <x15:cacheHierarchy aggregatedColumn="2"/>
        </ext>
      </extLst>
    </cacheHierarchy>
    <cacheHierarchy uniqueName="[Measures].[__XL_Count Table13]" caption="__XL_Count Table13" measure="1" displayFolder="" measureGroup="Table13" count="0" hidden="1"/>
    <cacheHierarchy uniqueName="[Measures].[__XL_Count Table11]" caption="__XL_Count Table11" measure="1" displayFolder="" measureGroup="Table11" count="0" hidden="1"/>
    <cacheHierarchy uniqueName="[Measures].[__XL_Count of Models]" caption="__XL_Count of Models" measure="1" displayFolder="" count="0" hidden="1"/>
  </cacheHierarchies>
  <kpis count="0"/>
  <dimensions count="3">
    <dimension measure="1" name="Measures" uniqueName="[Measures]" caption="Measures"/>
    <dimension name="Table11" uniqueName="[Table11]" caption="Table11"/>
    <dimension name="Table13" uniqueName="[Table13]" caption="Table13"/>
  </dimensions>
  <measureGroups count="2">
    <measureGroup name="Table11" caption="Table11"/>
    <measureGroup name="Table13" caption="Table13"/>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ardik" refreshedDate="46268.68661759259"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Table11].[State]" caption="State" attribute="1" defaultMemberUniqueName="[Table11].[State].[All]" allUniqueName="[Table11].[State].[All]" dimensionUniqueName="[Table11]" displayFolder="" count="2" memberValueDatatype="130" unbalanced="0"/>
    <cacheHierarchy uniqueName="[Table11].[No. of Operational PCS]" caption="No. of Operational PCS" attribute="1" defaultMemberUniqueName="[Table11].[No. of Operational PCS].[All]" allUniqueName="[Table11].[No. of Operational PCS].[All]" dimensionUniqueName="[Table11]" displayFolder="" count="0" memberValueDatatype="20" unbalanced="0"/>
    <cacheHierarchy uniqueName="[Table13].[EV Maker]" caption="EV Maker" attribute="1" defaultMemberUniqueName="[Table13].[EV Maker].[All]" allUniqueName="[Table13].[EV Maker].[All]" dimensionUniqueName="[Table13]" displayFolder="" count="0" memberValueDatatype="130" unbalanced="0"/>
    <cacheHierarchy uniqueName="[Table13].[Place]" caption="Place" attribute="1" defaultMemberUniqueName="[Table13].[Place].[All]" allUniqueName="[Table13].[Place].[All]" dimensionUniqueName="[Table13]" displayFolder="" count="0" memberValueDatatype="130" unbalanced="0"/>
    <cacheHierarchy uniqueName="[Table13].[State]" caption="State" attribute="1" defaultMemberUniqueName="[Table13].[State].[All]" allUniqueName="[Table13].[State].[All]" dimensionUniqueName="[Table13]" displayFolder="" count="0" memberValueDatatype="130" unbalanced="0"/>
    <cacheHierarchy uniqueName="[Measures].[Sum of No of Operational PCS]" caption="Sum of No of Operational PCS" measure="1" displayFolder="" measureGroup="Table1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Table13" count="0">
      <extLst>
        <ext xmlns:x15="http://schemas.microsoft.com/office/spreadsheetml/2010/11/main" uri="{B97F6D7D-B522-45F9-BDA1-12C45D357490}">
          <x15:cacheHierarchy aggregatedColumn="4"/>
        </ext>
      </extLst>
    </cacheHierarchy>
    <cacheHierarchy uniqueName="[Measures].[Count of EV Maker]" caption="Count of EV Maker" measure="1" displayFolder="" measureGroup="Table13" count="0">
      <extLst>
        <ext xmlns:x15="http://schemas.microsoft.com/office/spreadsheetml/2010/11/main" uri="{B97F6D7D-B522-45F9-BDA1-12C45D357490}">
          <x15:cacheHierarchy aggregatedColumn="2"/>
        </ext>
      </extLst>
    </cacheHierarchy>
    <cacheHierarchy uniqueName="[Measures].[__XL_Count Table13]" caption="__XL_Count Table13" measure="1" displayFolder="" measureGroup="Table13" count="0" hidden="1"/>
    <cacheHierarchy uniqueName="[Measures].[__XL_Count Table11]" caption="__XL_Count Table11" measure="1" displayFolder="" measureGroup="Table1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386">
  <r>
    <x v="0"/>
    <x v="0"/>
    <x v="0"/>
    <n v="0"/>
    <n v="31"/>
    <n v="12"/>
    <n v="0"/>
    <n v="0"/>
    <n v="0"/>
    <n v="0"/>
    <n v="0"/>
    <n v="0"/>
    <n v="43"/>
  </r>
  <r>
    <x v="0"/>
    <x v="1"/>
    <x v="0"/>
    <n v="0"/>
    <n v="0"/>
    <n v="0"/>
    <n v="0"/>
    <n v="0"/>
    <n v="112"/>
    <n v="390"/>
    <n v="545"/>
    <n v="51"/>
    <n v="1098"/>
  </r>
  <r>
    <x v="1"/>
    <x v="2"/>
    <x v="0"/>
    <n v="0"/>
    <n v="0"/>
    <n v="1"/>
    <n v="0"/>
    <n v="0"/>
    <n v="0"/>
    <n v="0"/>
    <n v="0"/>
    <n v="0"/>
    <n v="1"/>
  </r>
  <r>
    <x v="0"/>
    <x v="2"/>
    <x v="0"/>
    <n v="1"/>
    <n v="1"/>
    <n v="0"/>
    <n v="0"/>
    <n v="0"/>
    <n v="0"/>
    <n v="0"/>
    <n v="0"/>
    <n v="0"/>
    <n v="2"/>
  </r>
  <r>
    <x v="0"/>
    <x v="3"/>
    <x v="0"/>
    <n v="0"/>
    <n v="0"/>
    <n v="0"/>
    <n v="48"/>
    <n v="66"/>
    <n v="43"/>
    <n v="68"/>
    <n v="266"/>
    <n v="578"/>
    <n v="1069"/>
  </r>
  <r>
    <x v="2"/>
    <x v="3"/>
    <x v="0"/>
    <n v="0"/>
    <n v="0"/>
    <n v="0"/>
    <n v="3"/>
    <n v="1"/>
    <n v="0"/>
    <n v="0"/>
    <n v="0"/>
    <n v="0"/>
    <n v="4"/>
  </r>
  <r>
    <x v="0"/>
    <x v="4"/>
    <x v="0"/>
    <n v="1"/>
    <n v="0"/>
    <n v="0"/>
    <n v="0"/>
    <n v="0"/>
    <n v="0"/>
    <n v="0"/>
    <n v="0"/>
    <n v="0"/>
    <n v="1"/>
  </r>
  <r>
    <x v="0"/>
    <x v="5"/>
    <x v="0"/>
    <n v="0"/>
    <n v="2"/>
    <n v="1"/>
    <n v="0"/>
    <n v="0"/>
    <n v="0"/>
    <n v="0"/>
    <n v="0"/>
    <n v="0"/>
    <n v="3"/>
  </r>
  <r>
    <x v="0"/>
    <x v="6"/>
    <x v="0"/>
    <n v="1"/>
    <n v="72"/>
    <n v="56"/>
    <n v="42"/>
    <n v="1"/>
    <n v="5"/>
    <n v="3"/>
    <n v="2"/>
    <n v="0"/>
    <n v="182"/>
  </r>
  <r>
    <x v="0"/>
    <x v="7"/>
    <x v="0"/>
    <n v="0"/>
    <n v="100"/>
    <n v="625"/>
    <n v="438"/>
    <n v="195"/>
    <n v="256"/>
    <n v="433"/>
    <n v="563"/>
    <n v="355"/>
    <n v="2965"/>
  </r>
  <r>
    <x v="0"/>
    <x v="8"/>
    <x v="0"/>
    <n v="0"/>
    <n v="0"/>
    <n v="2"/>
    <n v="28"/>
    <n v="14"/>
    <n v="20"/>
    <n v="93"/>
    <n v="279"/>
    <n v="146"/>
    <n v="582"/>
  </r>
  <r>
    <x v="2"/>
    <x v="9"/>
    <x v="0"/>
    <n v="1"/>
    <n v="0"/>
    <n v="2"/>
    <n v="0"/>
    <n v="0"/>
    <n v="0"/>
    <n v="0"/>
    <n v="0"/>
    <n v="0"/>
    <n v="3"/>
  </r>
  <r>
    <x v="0"/>
    <x v="10"/>
    <x v="0"/>
    <n v="0"/>
    <n v="0"/>
    <n v="0"/>
    <n v="0"/>
    <n v="1"/>
    <n v="0"/>
    <n v="0"/>
    <n v="0"/>
    <n v="0"/>
    <n v="1"/>
  </r>
  <r>
    <x v="0"/>
    <x v="11"/>
    <x v="0"/>
    <n v="0"/>
    <n v="0"/>
    <n v="0"/>
    <n v="0"/>
    <n v="0"/>
    <n v="0"/>
    <n v="0"/>
    <n v="0"/>
    <n v="66"/>
    <n v="66"/>
  </r>
  <r>
    <x v="0"/>
    <x v="12"/>
    <x v="0"/>
    <n v="2"/>
    <n v="8"/>
    <n v="0"/>
    <n v="0"/>
    <n v="0"/>
    <n v="0"/>
    <n v="0"/>
    <n v="0"/>
    <n v="0"/>
    <n v="10"/>
  </r>
  <r>
    <x v="0"/>
    <x v="13"/>
    <x v="0"/>
    <n v="0"/>
    <n v="0"/>
    <n v="0"/>
    <n v="0"/>
    <n v="0"/>
    <n v="0"/>
    <n v="0"/>
    <n v="0"/>
    <n v="164"/>
    <n v="164"/>
  </r>
  <r>
    <x v="0"/>
    <x v="14"/>
    <x v="0"/>
    <n v="0"/>
    <n v="33"/>
    <n v="280"/>
    <n v="452"/>
    <n v="256"/>
    <n v="677"/>
    <n v="1451"/>
    <n v="1309"/>
    <n v="674"/>
    <n v="5132"/>
  </r>
  <r>
    <x v="1"/>
    <x v="15"/>
    <x v="0"/>
    <n v="0"/>
    <n v="0"/>
    <n v="0"/>
    <n v="0"/>
    <n v="0"/>
    <n v="0"/>
    <n v="0"/>
    <n v="0"/>
    <n v="2"/>
    <n v="2"/>
  </r>
  <r>
    <x v="0"/>
    <x v="16"/>
    <x v="0"/>
    <n v="8"/>
    <n v="94"/>
    <n v="85"/>
    <n v="41"/>
    <n v="3"/>
    <n v="17"/>
    <n v="8"/>
    <n v="0"/>
    <n v="0"/>
    <n v="256"/>
  </r>
  <r>
    <x v="2"/>
    <x v="16"/>
    <x v="0"/>
    <n v="0"/>
    <n v="2"/>
    <n v="75"/>
    <n v="0"/>
    <n v="0"/>
    <n v="0"/>
    <n v="0"/>
    <n v="0"/>
    <n v="0"/>
    <n v="77"/>
  </r>
  <r>
    <x v="0"/>
    <x v="17"/>
    <x v="0"/>
    <n v="3"/>
    <n v="0"/>
    <n v="4"/>
    <n v="6"/>
    <n v="4"/>
    <n v="6"/>
    <n v="516"/>
    <n v="797"/>
    <n v="312"/>
    <n v="1648"/>
  </r>
  <r>
    <x v="2"/>
    <x v="17"/>
    <x v="0"/>
    <n v="0"/>
    <n v="0"/>
    <n v="0"/>
    <n v="0"/>
    <n v="1"/>
    <n v="0"/>
    <n v="0"/>
    <n v="0"/>
    <n v="0"/>
    <n v="1"/>
  </r>
  <r>
    <x v="0"/>
    <x v="18"/>
    <x v="0"/>
    <n v="1"/>
    <n v="471"/>
    <n v="179"/>
    <n v="10"/>
    <n v="0"/>
    <n v="0"/>
    <n v="0"/>
    <n v="0"/>
    <n v="0"/>
    <n v="661"/>
  </r>
  <r>
    <x v="2"/>
    <x v="18"/>
    <x v="0"/>
    <n v="0"/>
    <n v="2"/>
    <n v="6"/>
    <n v="0"/>
    <n v="0"/>
    <n v="0"/>
    <n v="0"/>
    <n v="0"/>
    <n v="0"/>
    <n v="8"/>
  </r>
  <r>
    <x v="0"/>
    <x v="19"/>
    <x v="0"/>
    <n v="0"/>
    <n v="0"/>
    <n v="0"/>
    <n v="13"/>
    <n v="0"/>
    <n v="0"/>
    <n v="10"/>
    <n v="34"/>
    <n v="4"/>
    <n v="61"/>
  </r>
  <r>
    <x v="2"/>
    <x v="19"/>
    <x v="0"/>
    <n v="0"/>
    <n v="0"/>
    <n v="0"/>
    <n v="1"/>
    <n v="0"/>
    <n v="0"/>
    <n v="0"/>
    <n v="0"/>
    <n v="0"/>
    <n v="1"/>
  </r>
  <r>
    <x v="0"/>
    <x v="20"/>
    <x v="0"/>
    <n v="0"/>
    <n v="0"/>
    <n v="0"/>
    <n v="0"/>
    <n v="61"/>
    <n v="202"/>
    <n v="309"/>
    <n v="918"/>
    <n v="1194"/>
    <n v="2684"/>
  </r>
  <r>
    <x v="0"/>
    <x v="21"/>
    <x v="0"/>
    <n v="0"/>
    <n v="0"/>
    <n v="0"/>
    <n v="0"/>
    <n v="0"/>
    <n v="0"/>
    <n v="0"/>
    <n v="0"/>
    <n v="16"/>
    <n v="16"/>
  </r>
  <r>
    <x v="0"/>
    <x v="22"/>
    <x v="0"/>
    <n v="0"/>
    <n v="1"/>
    <n v="0"/>
    <n v="0"/>
    <n v="0"/>
    <n v="10"/>
    <n v="13"/>
    <n v="18"/>
    <n v="4"/>
    <n v="46"/>
  </r>
  <r>
    <x v="0"/>
    <x v="23"/>
    <x v="0"/>
    <n v="0"/>
    <n v="0"/>
    <n v="0"/>
    <n v="1"/>
    <n v="0"/>
    <n v="0"/>
    <n v="0"/>
    <n v="0"/>
    <n v="0"/>
    <n v="1"/>
  </r>
  <r>
    <x v="0"/>
    <x v="24"/>
    <x v="0"/>
    <n v="0"/>
    <n v="1"/>
    <n v="0"/>
    <n v="0"/>
    <n v="0"/>
    <n v="0"/>
    <n v="0"/>
    <n v="0"/>
    <n v="0"/>
    <n v="1"/>
  </r>
  <r>
    <x v="2"/>
    <x v="25"/>
    <x v="0"/>
    <n v="0"/>
    <n v="1"/>
    <n v="0"/>
    <n v="0"/>
    <n v="0"/>
    <n v="0"/>
    <n v="0"/>
    <n v="0"/>
    <n v="0"/>
    <n v="1"/>
  </r>
  <r>
    <x v="1"/>
    <x v="26"/>
    <x v="0"/>
    <n v="0"/>
    <n v="0"/>
    <n v="0"/>
    <n v="0"/>
    <n v="0"/>
    <n v="0"/>
    <n v="0"/>
    <n v="12"/>
    <n v="48"/>
    <n v="60"/>
  </r>
  <r>
    <x v="0"/>
    <x v="27"/>
    <x v="0"/>
    <n v="1"/>
    <n v="21"/>
    <n v="240"/>
    <n v="315"/>
    <n v="111"/>
    <n v="207"/>
    <n v="608"/>
    <n v="598"/>
    <n v="329"/>
    <n v="2430"/>
  </r>
  <r>
    <x v="1"/>
    <x v="28"/>
    <x v="0"/>
    <n v="1"/>
    <n v="0"/>
    <n v="0"/>
    <n v="0"/>
    <n v="0"/>
    <n v="0"/>
    <n v="0"/>
    <n v="0"/>
    <n v="0"/>
    <n v="1"/>
  </r>
  <r>
    <x v="0"/>
    <x v="28"/>
    <x v="0"/>
    <n v="0"/>
    <n v="4"/>
    <n v="0"/>
    <n v="0"/>
    <n v="0"/>
    <n v="0"/>
    <n v="0"/>
    <n v="0"/>
    <n v="0"/>
    <n v="4"/>
  </r>
  <r>
    <x v="2"/>
    <x v="28"/>
    <x v="1"/>
    <n v="1"/>
    <n v="0"/>
    <n v="0"/>
    <n v="0"/>
    <n v="0"/>
    <n v="0"/>
    <n v="0"/>
    <n v="0"/>
    <n v="0"/>
    <n v="7"/>
  </r>
  <r>
    <x v="0"/>
    <x v="29"/>
    <x v="0"/>
    <n v="0"/>
    <n v="0"/>
    <n v="0"/>
    <n v="6"/>
    <n v="2"/>
    <n v="1"/>
    <n v="3"/>
    <n v="4"/>
    <n v="1"/>
    <n v="17"/>
  </r>
  <r>
    <x v="2"/>
    <x v="29"/>
    <x v="0"/>
    <n v="0"/>
    <n v="0"/>
    <n v="0"/>
    <n v="0"/>
    <n v="0"/>
    <n v="0"/>
    <n v="0"/>
    <n v="0"/>
    <n v="1"/>
    <n v="1"/>
  </r>
  <r>
    <x v="0"/>
    <x v="30"/>
    <x v="0"/>
    <n v="0"/>
    <n v="0"/>
    <n v="0"/>
    <n v="8"/>
    <n v="14"/>
    <n v="34"/>
    <n v="168"/>
    <n v="689"/>
    <n v="927"/>
    <n v="1840"/>
  </r>
  <r>
    <x v="0"/>
    <x v="31"/>
    <x v="0"/>
    <n v="2"/>
    <n v="17"/>
    <n v="3"/>
    <n v="0"/>
    <n v="0"/>
    <n v="1"/>
    <n v="0"/>
    <n v="0"/>
    <n v="0"/>
    <n v="23"/>
  </r>
  <r>
    <x v="0"/>
    <x v="32"/>
    <x v="0"/>
    <n v="0"/>
    <n v="0"/>
    <n v="0"/>
    <n v="1"/>
    <n v="0"/>
    <n v="5"/>
    <n v="3"/>
    <n v="1"/>
    <n v="0"/>
    <n v="10"/>
  </r>
  <r>
    <x v="0"/>
    <x v="33"/>
    <x v="0"/>
    <n v="39"/>
    <n v="187"/>
    <n v="176"/>
    <n v="296"/>
    <n v="75"/>
    <n v="53"/>
    <n v="129"/>
    <n v="179"/>
    <n v="152"/>
    <n v="1286"/>
  </r>
  <r>
    <x v="2"/>
    <x v="33"/>
    <x v="0"/>
    <n v="0"/>
    <n v="2"/>
    <n v="2"/>
    <n v="0"/>
    <n v="0"/>
    <n v="0"/>
    <n v="0"/>
    <n v="0"/>
    <n v="0"/>
    <n v="4"/>
  </r>
  <r>
    <x v="0"/>
    <x v="34"/>
    <x v="0"/>
    <n v="0"/>
    <n v="0"/>
    <n v="0"/>
    <n v="0"/>
    <n v="0"/>
    <n v="0"/>
    <n v="0"/>
    <n v="129"/>
    <n v="151"/>
    <n v="280"/>
  </r>
  <r>
    <x v="1"/>
    <x v="35"/>
    <x v="0"/>
    <n v="0"/>
    <n v="0"/>
    <n v="0"/>
    <n v="0"/>
    <n v="0"/>
    <n v="65"/>
    <n v="226"/>
    <n v="61"/>
    <n v="8"/>
    <n v="360"/>
  </r>
  <r>
    <x v="1"/>
    <x v="36"/>
    <x v="0"/>
    <n v="0"/>
    <n v="0"/>
    <n v="0"/>
    <n v="0"/>
    <n v="1"/>
    <n v="8"/>
    <n v="186"/>
    <n v="138"/>
    <n v="34"/>
    <n v="367"/>
  </r>
  <r>
    <x v="0"/>
    <x v="37"/>
    <x v="0"/>
    <n v="1"/>
    <n v="0"/>
    <n v="0"/>
    <n v="0"/>
    <n v="0"/>
    <n v="0"/>
    <n v="0"/>
    <n v="0"/>
    <n v="0"/>
    <n v="1"/>
  </r>
  <r>
    <x v="0"/>
    <x v="38"/>
    <x v="0"/>
    <n v="0"/>
    <n v="0"/>
    <n v="0"/>
    <n v="2"/>
    <n v="2"/>
    <n v="1"/>
    <n v="1"/>
    <n v="0"/>
    <n v="2"/>
    <n v="8"/>
  </r>
  <r>
    <x v="0"/>
    <x v="39"/>
    <x v="0"/>
    <n v="0"/>
    <n v="1"/>
    <n v="0"/>
    <n v="0"/>
    <n v="0"/>
    <n v="0"/>
    <n v="0"/>
    <n v="0"/>
    <n v="0"/>
    <n v="1"/>
  </r>
  <r>
    <x v="2"/>
    <x v="40"/>
    <x v="0"/>
    <n v="0"/>
    <n v="2"/>
    <n v="0"/>
    <n v="0"/>
    <n v="0"/>
    <n v="0"/>
    <n v="0"/>
    <n v="0"/>
    <n v="0"/>
    <n v="2"/>
  </r>
  <r>
    <x v="1"/>
    <x v="41"/>
    <x v="0"/>
    <n v="0"/>
    <n v="0"/>
    <n v="0"/>
    <n v="0"/>
    <n v="0"/>
    <n v="1"/>
    <n v="0"/>
    <n v="0"/>
    <n v="0"/>
    <n v="1"/>
  </r>
  <r>
    <x v="0"/>
    <x v="42"/>
    <x v="0"/>
    <n v="0"/>
    <n v="0"/>
    <n v="0"/>
    <n v="0"/>
    <n v="0"/>
    <n v="0"/>
    <n v="33"/>
    <n v="190"/>
    <n v="109"/>
    <n v="332"/>
  </r>
  <r>
    <x v="0"/>
    <x v="43"/>
    <x v="0"/>
    <n v="0"/>
    <n v="0"/>
    <n v="0"/>
    <n v="1"/>
    <n v="0"/>
    <n v="0"/>
    <n v="0"/>
    <n v="0"/>
    <n v="0"/>
    <n v="1"/>
  </r>
  <r>
    <x v="2"/>
    <x v="44"/>
    <x v="0"/>
    <n v="0"/>
    <n v="0"/>
    <n v="1"/>
    <n v="0"/>
    <n v="0"/>
    <n v="0"/>
    <n v="0"/>
    <n v="0"/>
    <n v="0"/>
    <n v="1"/>
  </r>
  <r>
    <x v="0"/>
    <x v="45"/>
    <x v="0"/>
    <n v="0"/>
    <n v="0"/>
    <n v="0"/>
    <n v="0"/>
    <n v="0"/>
    <n v="0"/>
    <n v="0"/>
    <n v="138"/>
    <n v="1048"/>
    <n v="1186"/>
  </r>
  <r>
    <x v="0"/>
    <x v="46"/>
    <x v="0"/>
    <n v="0"/>
    <n v="0"/>
    <n v="0"/>
    <n v="1"/>
    <n v="0"/>
    <n v="0"/>
    <n v="0"/>
    <n v="0"/>
    <n v="0"/>
    <n v="1"/>
  </r>
  <r>
    <x v="0"/>
    <x v="47"/>
    <x v="0"/>
    <n v="0"/>
    <n v="0"/>
    <n v="15"/>
    <n v="6"/>
    <n v="15"/>
    <n v="0"/>
    <n v="14"/>
    <n v="39"/>
    <n v="4"/>
    <n v="93"/>
  </r>
  <r>
    <x v="3"/>
    <x v="48"/>
    <x v="0"/>
    <n v="0"/>
    <n v="0"/>
    <n v="0"/>
    <n v="0"/>
    <n v="0"/>
    <n v="0"/>
    <n v="0"/>
    <n v="5"/>
    <n v="20"/>
    <n v="25"/>
  </r>
  <r>
    <x v="0"/>
    <x v="49"/>
    <x v="0"/>
    <n v="0"/>
    <n v="0"/>
    <n v="0"/>
    <n v="0"/>
    <n v="0"/>
    <n v="0"/>
    <n v="0"/>
    <n v="59"/>
    <n v="131"/>
    <n v="190"/>
  </r>
  <r>
    <x v="0"/>
    <x v="50"/>
    <x v="0"/>
    <n v="2"/>
    <n v="239"/>
    <n v="763"/>
    <n v="1737"/>
    <n v="1180"/>
    <n v="2370"/>
    <n v="5884"/>
    <n v="10743"/>
    <n v="6317"/>
    <n v="29235"/>
  </r>
  <r>
    <x v="2"/>
    <x v="50"/>
    <x v="0"/>
    <n v="0"/>
    <n v="0"/>
    <n v="0"/>
    <n v="0"/>
    <n v="0"/>
    <n v="0"/>
    <n v="0"/>
    <n v="8"/>
    <n v="0"/>
    <n v="8"/>
  </r>
  <r>
    <x v="0"/>
    <x v="51"/>
    <x v="0"/>
    <n v="0"/>
    <n v="0"/>
    <n v="0"/>
    <n v="177"/>
    <n v="308"/>
    <n v="381"/>
    <n v="1626"/>
    <n v="2517"/>
    <n v="1804"/>
    <n v="6813"/>
  </r>
  <r>
    <x v="2"/>
    <x v="51"/>
    <x v="0"/>
    <n v="0"/>
    <n v="0"/>
    <n v="0"/>
    <n v="0"/>
    <n v="0"/>
    <n v="0"/>
    <n v="0"/>
    <n v="1"/>
    <n v="0"/>
    <n v="1"/>
  </r>
  <r>
    <x v="0"/>
    <x v="52"/>
    <x v="0"/>
    <n v="0"/>
    <n v="0"/>
    <n v="0"/>
    <n v="0"/>
    <n v="3"/>
    <n v="144"/>
    <n v="699"/>
    <n v="2512"/>
    <n v="939"/>
    <n v="4297"/>
  </r>
  <r>
    <x v="2"/>
    <x v="52"/>
    <x v="0"/>
    <n v="0"/>
    <n v="0"/>
    <n v="0"/>
    <n v="0"/>
    <n v="0"/>
    <n v="2"/>
    <n v="0"/>
    <n v="7"/>
    <n v="6"/>
    <n v="15"/>
  </r>
  <r>
    <x v="1"/>
    <x v="53"/>
    <x v="0"/>
    <n v="0"/>
    <n v="0"/>
    <n v="0"/>
    <n v="0"/>
    <n v="0"/>
    <n v="0"/>
    <n v="67"/>
    <n v="37"/>
    <n v="14"/>
    <n v="118"/>
  </r>
  <r>
    <x v="0"/>
    <x v="54"/>
    <x v="0"/>
    <n v="32"/>
    <n v="7"/>
    <n v="0"/>
    <n v="79"/>
    <n v="30"/>
    <n v="29"/>
    <n v="9"/>
    <n v="13"/>
    <n v="7"/>
    <n v="206"/>
  </r>
  <r>
    <x v="0"/>
    <x v="55"/>
    <x v="0"/>
    <n v="6"/>
    <n v="0"/>
    <n v="0"/>
    <n v="0"/>
    <n v="0"/>
    <n v="0"/>
    <n v="0"/>
    <n v="0"/>
    <n v="0"/>
    <n v="6"/>
  </r>
  <r>
    <x v="0"/>
    <x v="56"/>
    <x v="0"/>
    <n v="0"/>
    <n v="69"/>
    <n v="41"/>
    <n v="53"/>
    <n v="22"/>
    <n v="64"/>
    <n v="30"/>
    <n v="14"/>
    <n v="55"/>
    <n v="348"/>
  </r>
  <r>
    <x v="0"/>
    <x v="57"/>
    <x v="0"/>
    <n v="80"/>
    <n v="114"/>
    <n v="69"/>
    <n v="20"/>
    <n v="15"/>
    <n v="63"/>
    <n v="39"/>
    <n v="162"/>
    <n v="327"/>
    <n v="889"/>
  </r>
  <r>
    <x v="0"/>
    <x v="58"/>
    <x v="0"/>
    <n v="0"/>
    <n v="1"/>
    <n v="0"/>
    <n v="0"/>
    <n v="0"/>
    <n v="0"/>
    <n v="0"/>
    <n v="0"/>
    <n v="0"/>
    <n v="1"/>
  </r>
  <r>
    <x v="0"/>
    <x v="59"/>
    <x v="0"/>
    <n v="0"/>
    <n v="0"/>
    <n v="0"/>
    <n v="0"/>
    <n v="25"/>
    <n v="113"/>
    <n v="92"/>
    <n v="145"/>
    <n v="55"/>
    <n v="430"/>
  </r>
  <r>
    <x v="0"/>
    <x v="60"/>
    <x v="0"/>
    <n v="0"/>
    <n v="0"/>
    <n v="0"/>
    <n v="427"/>
    <n v="656"/>
    <n v="981"/>
    <n v="1159"/>
    <n v="1910"/>
    <n v="1060"/>
    <n v="6193"/>
  </r>
  <r>
    <x v="2"/>
    <x v="61"/>
    <x v="2"/>
    <n v="0"/>
    <n v="0"/>
    <n v="1"/>
    <n v="0"/>
    <n v="0"/>
    <n v="0"/>
    <n v="0"/>
    <n v="0"/>
    <n v="0"/>
    <n v="2"/>
  </r>
  <r>
    <x v="1"/>
    <x v="62"/>
    <x v="0"/>
    <n v="0"/>
    <n v="0"/>
    <n v="0"/>
    <n v="0"/>
    <n v="0"/>
    <n v="0"/>
    <n v="1497"/>
    <n v="1574"/>
    <n v="80"/>
    <n v="3151"/>
  </r>
  <r>
    <x v="1"/>
    <x v="63"/>
    <x v="0"/>
    <n v="0"/>
    <n v="0"/>
    <n v="0"/>
    <n v="1196"/>
    <n v="4522"/>
    <n v="12470"/>
    <n v="79857"/>
    <n v="42903"/>
    <n v="857"/>
    <n v="141805"/>
  </r>
  <r>
    <x v="1"/>
    <x v="64"/>
    <x v="3"/>
    <n v="0"/>
    <n v="0"/>
    <n v="0"/>
    <n v="6"/>
    <n v="153"/>
    <n v="315"/>
    <n v="2390"/>
    <n v="8"/>
    <n v="0"/>
    <n v="2903"/>
  </r>
  <r>
    <x v="0"/>
    <x v="64"/>
    <x v="0"/>
    <n v="0"/>
    <n v="44"/>
    <n v="0"/>
    <n v="0"/>
    <n v="0"/>
    <n v="0"/>
    <n v="0"/>
    <n v="0"/>
    <n v="0"/>
    <n v="44"/>
  </r>
  <r>
    <x v="0"/>
    <x v="65"/>
    <x v="0"/>
    <n v="0"/>
    <n v="1"/>
    <n v="0"/>
    <n v="0"/>
    <n v="0"/>
    <n v="0"/>
    <n v="0"/>
    <n v="0"/>
    <n v="0"/>
    <n v="1"/>
  </r>
  <r>
    <x v="2"/>
    <x v="66"/>
    <x v="2"/>
    <n v="3"/>
    <n v="0"/>
    <n v="1"/>
    <n v="0"/>
    <n v="0"/>
    <n v="0"/>
    <n v="0"/>
    <n v="0"/>
    <n v="0"/>
    <n v="5"/>
  </r>
  <r>
    <x v="1"/>
    <x v="67"/>
    <x v="0"/>
    <n v="0"/>
    <n v="0"/>
    <n v="0"/>
    <n v="0"/>
    <n v="0"/>
    <n v="0"/>
    <n v="6"/>
    <n v="51"/>
    <n v="22"/>
    <n v="79"/>
  </r>
  <r>
    <x v="1"/>
    <x v="68"/>
    <x v="0"/>
    <n v="0"/>
    <n v="0"/>
    <n v="0"/>
    <n v="0"/>
    <n v="0"/>
    <n v="0"/>
    <n v="0"/>
    <n v="8"/>
    <n v="3"/>
    <n v="11"/>
  </r>
  <r>
    <x v="1"/>
    <x v="69"/>
    <x v="0"/>
    <n v="0"/>
    <n v="0"/>
    <n v="0"/>
    <n v="0"/>
    <n v="0"/>
    <n v="0"/>
    <n v="0"/>
    <n v="61"/>
    <n v="39"/>
    <n v="100"/>
  </r>
  <r>
    <x v="1"/>
    <x v="70"/>
    <x v="0"/>
    <n v="0"/>
    <n v="0"/>
    <n v="0"/>
    <n v="0"/>
    <n v="0"/>
    <n v="0"/>
    <n v="0"/>
    <n v="1"/>
    <n v="0"/>
    <n v="1"/>
  </r>
  <r>
    <x v="1"/>
    <x v="71"/>
    <x v="0"/>
    <n v="0"/>
    <n v="0"/>
    <n v="0"/>
    <n v="0"/>
    <n v="0"/>
    <n v="0"/>
    <n v="0"/>
    <n v="13"/>
    <n v="8"/>
    <n v="21"/>
  </r>
  <r>
    <x v="0"/>
    <x v="72"/>
    <x v="0"/>
    <n v="0"/>
    <n v="0"/>
    <n v="0"/>
    <n v="0"/>
    <n v="23"/>
    <n v="11"/>
    <n v="21"/>
    <n v="61"/>
    <n v="22"/>
    <n v="138"/>
  </r>
  <r>
    <x v="0"/>
    <x v="73"/>
    <x v="0"/>
    <n v="0"/>
    <n v="2"/>
    <n v="3"/>
    <n v="0"/>
    <n v="0"/>
    <n v="0"/>
    <n v="0"/>
    <n v="0"/>
    <n v="0"/>
    <n v="5"/>
  </r>
  <r>
    <x v="0"/>
    <x v="74"/>
    <x v="0"/>
    <n v="0"/>
    <n v="0"/>
    <n v="75"/>
    <n v="118"/>
    <n v="122"/>
    <n v="79"/>
    <n v="75"/>
    <n v="74"/>
    <n v="53"/>
    <n v="596"/>
  </r>
  <r>
    <x v="2"/>
    <x v="74"/>
    <x v="0"/>
    <n v="0"/>
    <n v="0"/>
    <n v="1"/>
    <n v="0"/>
    <n v="0"/>
    <n v="0"/>
    <n v="0"/>
    <n v="0"/>
    <n v="0"/>
    <n v="1"/>
  </r>
  <r>
    <x v="0"/>
    <x v="75"/>
    <x v="0"/>
    <n v="15"/>
    <n v="72"/>
    <n v="505"/>
    <n v="287"/>
    <n v="51"/>
    <n v="111"/>
    <n v="2"/>
    <n v="5"/>
    <n v="0"/>
    <n v="1048"/>
  </r>
  <r>
    <x v="0"/>
    <x v="76"/>
    <x v="0"/>
    <n v="0"/>
    <n v="0"/>
    <n v="0"/>
    <n v="0"/>
    <n v="0"/>
    <n v="0"/>
    <n v="0"/>
    <n v="0"/>
    <n v="8"/>
    <n v="8"/>
  </r>
  <r>
    <x v="2"/>
    <x v="77"/>
    <x v="2"/>
    <n v="8"/>
    <n v="2"/>
    <n v="0"/>
    <n v="0"/>
    <n v="0"/>
    <n v="0"/>
    <n v="0"/>
    <n v="0"/>
    <n v="0"/>
    <n v="11"/>
  </r>
  <r>
    <x v="0"/>
    <x v="78"/>
    <x v="0"/>
    <n v="0"/>
    <n v="25"/>
    <n v="5"/>
    <n v="0"/>
    <n v="0"/>
    <n v="0"/>
    <n v="0"/>
    <n v="0"/>
    <n v="0"/>
    <n v="30"/>
  </r>
  <r>
    <x v="0"/>
    <x v="79"/>
    <x v="0"/>
    <n v="10"/>
    <n v="93"/>
    <n v="182"/>
    <n v="190"/>
    <n v="83"/>
    <n v="96"/>
    <n v="86"/>
    <n v="87"/>
    <n v="30"/>
    <n v="857"/>
  </r>
  <r>
    <x v="0"/>
    <x v="80"/>
    <x v="0"/>
    <n v="0"/>
    <n v="5"/>
    <n v="0"/>
    <n v="0"/>
    <n v="0"/>
    <n v="0"/>
    <n v="0"/>
    <n v="0"/>
    <n v="0"/>
    <n v="5"/>
  </r>
  <r>
    <x v="0"/>
    <x v="81"/>
    <x v="0"/>
    <n v="0"/>
    <n v="0"/>
    <n v="78"/>
    <n v="267"/>
    <n v="119"/>
    <n v="221"/>
    <n v="399"/>
    <n v="778"/>
    <n v="395"/>
    <n v="2257"/>
  </r>
  <r>
    <x v="0"/>
    <x v="82"/>
    <x v="0"/>
    <n v="0"/>
    <n v="0"/>
    <n v="153"/>
    <n v="276"/>
    <n v="191"/>
    <n v="418"/>
    <n v="379"/>
    <n v="725"/>
    <n v="685"/>
    <n v="2827"/>
  </r>
  <r>
    <x v="2"/>
    <x v="83"/>
    <x v="0"/>
    <n v="1"/>
    <n v="1"/>
    <n v="0"/>
    <n v="0"/>
    <n v="0"/>
    <n v="0"/>
    <n v="0"/>
    <n v="0"/>
    <n v="0"/>
    <n v="2"/>
  </r>
  <r>
    <x v="2"/>
    <x v="84"/>
    <x v="2"/>
    <n v="0"/>
    <n v="0"/>
    <n v="0"/>
    <n v="0"/>
    <n v="0"/>
    <n v="0"/>
    <n v="0"/>
    <n v="0"/>
    <n v="0"/>
    <n v="1"/>
  </r>
  <r>
    <x v="0"/>
    <x v="85"/>
    <x v="0"/>
    <n v="0"/>
    <n v="131"/>
    <n v="153"/>
    <n v="251"/>
    <n v="110"/>
    <n v="203"/>
    <n v="564"/>
    <n v="1077"/>
    <n v="777"/>
    <n v="3266"/>
  </r>
  <r>
    <x v="0"/>
    <x v="86"/>
    <x v="0"/>
    <n v="0"/>
    <n v="0"/>
    <n v="0"/>
    <n v="0"/>
    <n v="14"/>
    <n v="24"/>
    <n v="41"/>
    <n v="61"/>
    <n v="29"/>
    <n v="169"/>
  </r>
  <r>
    <x v="2"/>
    <x v="86"/>
    <x v="0"/>
    <n v="0"/>
    <n v="0"/>
    <n v="0"/>
    <n v="0"/>
    <n v="0"/>
    <n v="0"/>
    <n v="1"/>
    <n v="0"/>
    <n v="0"/>
    <n v="1"/>
  </r>
  <r>
    <x v="0"/>
    <x v="87"/>
    <x v="0"/>
    <n v="0"/>
    <n v="1"/>
    <n v="0"/>
    <n v="0"/>
    <n v="0"/>
    <n v="0"/>
    <n v="0"/>
    <n v="0"/>
    <n v="0"/>
    <n v="1"/>
  </r>
  <r>
    <x v="0"/>
    <x v="88"/>
    <x v="0"/>
    <n v="0"/>
    <n v="0"/>
    <n v="12"/>
    <n v="8"/>
    <n v="0"/>
    <n v="0"/>
    <n v="0"/>
    <n v="0"/>
    <n v="0"/>
    <n v="20"/>
  </r>
  <r>
    <x v="0"/>
    <x v="89"/>
    <x v="0"/>
    <n v="5"/>
    <n v="195"/>
    <n v="214"/>
    <n v="99"/>
    <n v="41"/>
    <n v="31"/>
    <n v="14"/>
    <n v="0"/>
    <n v="0"/>
    <n v="599"/>
  </r>
  <r>
    <x v="0"/>
    <x v="90"/>
    <x v="0"/>
    <n v="0"/>
    <n v="29"/>
    <n v="331"/>
    <n v="308"/>
    <n v="185"/>
    <n v="373"/>
    <n v="344"/>
    <n v="590"/>
    <n v="76"/>
    <n v="2236"/>
  </r>
  <r>
    <x v="0"/>
    <x v="91"/>
    <x v="0"/>
    <n v="0"/>
    <n v="1"/>
    <n v="64"/>
    <n v="393"/>
    <n v="825"/>
    <n v="1276"/>
    <n v="2782"/>
    <n v="3958"/>
    <n v="1925"/>
    <n v="11224"/>
  </r>
  <r>
    <x v="2"/>
    <x v="91"/>
    <x v="0"/>
    <n v="0"/>
    <n v="0"/>
    <n v="0"/>
    <n v="0"/>
    <n v="0"/>
    <n v="1"/>
    <n v="3"/>
    <n v="0"/>
    <n v="0"/>
    <n v="4"/>
  </r>
  <r>
    <x v="0"/>
    <x v="92"/>
    <x v="0"/>
    <n v="0"/>
    <n v="0"/>
    <n v="0"/>
    <n v="0"/>
    <n v="0"/>
    <n v="0"/>
    <n v="0"/>
    <n v="0"/>
    <n v="1"/>
    <n v="1"/>
  </r>
  <r>
    <x v="0"/>
    <x v="93"/>
    <x v="0"/>
    <n v="0"/>
    <n v="5"/>
    <n v="21"/>
    <n v="2"/>
    <n v="7"/>
    <n v="35"/>
    <n v="61"/>
    <n v="86"/>
    <n v="126"/>
    <n v="343"/>
  </r>
  <r>
    <x v="0"/>
    <x v="94"/>
    <x v="0"/>
    <n v="0"/>
    <n v="0"/>
    <n v="0"/>
    <n v="0"/>
    <n v="0"/>
    <n v="0"/>
    <n v="0"/>
    <n v="6"/>
    <n v="2"/>
    <n v="8"/>
  </r>
  <r>
    <x v="0"/>
    <x v="95"/>
    <x v="0"/>
    <n v="0"/>
    <n v="0"/>
    <n v="0"/>
    <n v="0"/>
    <n v="0"/>
    <n v="0"/>
    <n v="0"/>
    <n v="294"/>
    <n v="828"/>
    <n v="1122"/>
  </r>
  <r>
    <x v="0"/>
    <x v="96"/>
    <x v="0"/>
    <n v="0"/>
    <n v="1"/>
    <n v="0"/>
    <n v="0"/>
    <n v="0"/>
    <n v="0"/>
    <n v="0"/>
    <n v="0"/>
    <n v="0"/>
    <n v="1"/>
  </r>
  <r>
    <x v="2"/>
    <x v="96"/>
    <x v="0"/>
    <n v="1"/>
    <n v="0"/>
    <n v="0"/>
    <n v="0"/>
    <n v="0"/>
    <n v="0"/>
    <n v="0"/>
    <n v="0"/>
    <n v="0"/>
    <n v="1"/>
  </r>
  <r>
    <x v="0"/>
    <x v="97"/>
    <x v="0"/>
    <n v="0"/>
    <n v="2"/>
    <n v="16"/>
    <n v="1"/>
    <n v="4"/>
    <n v="4"/>
    <n v="1"/>
    <n v="0"/>
    <n v="1"/>
    <n v="29"/>
  </r>
  <r>
    <x v="0"/>
    <x v="98"/>
    <x v="0"/>
    <n v="0"/>
    <n v="0"/>
    <n v="5"/>
    <n v="0"/>
    <n v="0"/>
    <n v="0"/>
    <n v="0"/>
    <n v="0"/>
    <n v="0"/>
    <n v="5"/>
  </r>
  <r>
    <x v="0"/>
    <x v="99"/>
    <x v="0"/>
    <n v="0"/>
    <n v="0"/>
    <n v="7"/>
    <n v="0"/>
    <n v="0"/>
    <n v="0"/>
    <n v="2"/>
    <n v="0"/>
    <n v="0"/>
    <n v="9"/>
  </r>
  <r>
    <x v="1"/>
    <x v="100"/>
    <x v="0"/>
    <n v="0"/>
    <n v="0"/>
    <n v="24"/>
    <n v="2291"/>
    <n v="3052"/>
    <n v="15930"/>
    <n v="51808"/>
    <n v="104735"/>
    <n v="58547"/>
    <n v="236387"/>
  </r>
  <r>
    <x v="0"/>
    <x v="101"/>
    <x v="0"/>
    <n v="0"/>
    <n v="0"/>
    <n v="2"/>
    <n v="0"/>
    <n v="0"/>
    <n v="0"/>
    <n v="0"/>
    <n v="0"/>
    <n v="0"/>
    <n v="2"/>
  </r>
  <r>
    <x v="1"/>
    <x v="102"/>
    <x v="0"/>
    <n v="0"/>
    <n v="0"/>
    <n v="0"/>
    <n v="0"/>
    <n v="2"/>
    <n v="17"/>
    <n v="3"/>
    <n v="1"/>
    <n v="0"/>
    <n v="23"/>
  </r>
  <r>
    <x v="0"/>
    <x v="103"/>
    <x v="0"/>
    <n v="0"/>
    <n v="4"/>
    <n v="9"/>
    <n v="5"/>
    <n v="0"/>
    <n v="0"/>
    <n v="0"/>
    <n v="0"/>
    <n v="0"/>
    <n v="18"/>
  </r>
  <r>
    <x v="0"/>
    <x v="104"/>
    <x v="0"/>
    <n v="397"/>
    <n v="1023"/>
    <n v="660"/>
    <n v="492"/>
    <n v="176"/>
    <n v="132"/>
    <n v="456"/>
    <n v="760"/>
    <n v="408"/>
    <n v="4504"/>
  </r>
  <r>
    <x v="0"/>
    <x v="105"/>
    <x v="4"/>
    <n v="1299"/>
    <n v="190"/>
    <n v="31"/>
    <n v="2"/>
    <n v="12"/>
    <n v="0"/>
    <n v="0"/>
    <n v="0"/>
    <n v="0"/>
    <n v="1569"/>
  </r>
  <r>
    <x v="0"/>
    <x v="106"/>
    <x v="2"/>
    <n v="99"/>
    <n v="219"/>
    <n v="492"/>
    <n v="510"/>
    <n v="438"/>
    <n v="893"/>
    <n v="2864"/>
    <n v="5502"/>
    <n v="3938"/>
    <n v="14956"/>
  </r>
  <r>
    <x v="2"/>
    <x v="106"/>
    <x v="0"/>
    <n v="0"/>
    <n v="14"/>
    <n v="11"/>
    <n v="0"/>
    <n v="0"/>
    <n v="0"/>
    <n v="2"/>
    <n v="5"/>
    <n v="0"/>
    <n v="32"/>
  </r>
  <r>
    <x v="0"/>
    <x v="107"/>
    <x v="0"/>
    <n v="0"/>
    <n v="0"/>
    <n v="0"/>
    <n v="0"/>
    <n v="0"/>
    <n v="0"/>
    <n v="0"/>
    <n v="127"/>
    <n v="308"/>
    <n v="435"/>
  </r>
  <r>
    <x v="1"/>
    <x v="108"/>
    <x v="0"/>
    <n v="0"/>
    <n v="0"/>
    <n v="0"/>
    <n v="0"/>
    <n v="0"/>
    <n v="0"/>
    <n v="0"/>
    <n v="105"/>
    <n v="22"/>
    <n v="127"/>
  </r>
  <r>
    <x v="0"/>
    <x v="109"/>
    <x v="0"/>
    <n v="1"/>
    <n v="85"/>
    <n v="336"/>
    <n v="139"/>
    <n v="204"/>
    <n v="431"/>
    <n v="943"/>
    <n v="2335"/>
    <n v="1593"/>
    <n v="6067"/>
  </r>
  <r>
    <x v="2"/>
    <x v="110"/>
    <x v="0"/>
    <n v="0"/>
    <n v="1"/>
    <n v="0"/>
    <n v="0"/>
    <n v="0"/>
    <n v="43"/>
    <n v="115"/>
    <n v="143"/>
    <n v="100"/>
    <n v="402"/>
  </r>
  <r>
    <x v="0"/>
    <x v="111"/>
    <x v="0"/>
    <n v="0"/>
    <n v="0"/>
    <n v="1"/>
    <n v="0"/>
    <n v="0"/>
    <n v="0"/>
    <n v="0"/>
    <n v="0"/>
    <n v="0"/>
    <n v="1"/>
  </r>
  <r>
    <x v="0"/>
    <x v="112"/>
    <x v="0"/>
    <n v="0"/>
    <n v="0"/>
    <n v="0"/>
    <n v="0"/>
    <n v="0"/>
    <n v="0"/>
    <n v="21"/>
    <n v="578"/>
    <n v="524"/>
    <n v="1123"/>
  </r>
  <r>
    <x v="0"/>
    <x v="113"/>
    <x v="0"/>
    <n v="0"/>
    <n v="0"/>
    <n v="206"/>
    <n v="329"/>
    <n v="124"/>
    <n v="326"/>
    <n v="485"/>
    <n v="103"/>
    <n v="2"/>
    <n v="1575"/>
  </r>
  <r>
    <x v="0"/>
    <x v="114"/>
    <x v="0"/>
    <n v="0"/>
    <n v="49"/>
    <n v="216"/>
    <n v="571"/>
    <n v="328"/>
    <n v="139"/>
    <n v="64"/>
    <n v="11"/>
    <n v="1"/>
    <n v="1379"/>
  </r>
  <r>
    <x v="0"/>
    <x v="115"/>
    <x v="0"/>
    <n v="0"/>
    <n v="0"/>
    <n v="54"/>
    <n v="717"/>
    <n v="517"/>
    <n v="957"/>
    <n v="1480"/>
    <n v="2632"/>
    <n v="1951"/>
    <n v="8308"/>
  </r>
  <r>
    <x v="2"/>
    <x v="115"/>
    <x v="0"/>
    <n v="0"/>
    <n v="0"/>
    <n v="0"/>
    <n v="1"/>
    <n v="0"/>
    <n v="0"/>
    <n v="0"/>
    <n v="0"/>
    <n v="0"/>
    <n v="1"/>
  </r>
  <r>
    <x v="0"/>
    <x v="116"/>
    <x v="0"/>
    <n v="1"/>
    <n v="17"/>
    <n v="4"/>
    <n v="1"/>
    <n v="3"/>
    <n v="13"/>
    <n v="40"/>
    <n v="10"/>
    <n v="0"/>
    <n v="89"/>
  </r>
  <r>
    <x v="1"/>
    <x v="117"/>
    <x v="0"/>
    <n v="0"/>
    <n v="8"/>
    <n v="37"/>
    <n v="1"/>
    <n v="0"/>
    <n v="0"/>
    <n v="0"/>
    <n v="0"/>
    <n v="0"/>
    <n v="46"/>
  </r>
  <r>
    <x v="0"/>
    <x v="117"/>
    <x v="0"/>
    <n v="0"/>
    <n v="71"/>
    <n v="191"/>
    <n v="342"/>
    <n v="366"/>
    <n v="470"/>
    <n v="760"/>
    <n v="784"/>
    <n v="429"/>
    <n v="3413"/>
  </r>
  <r>
    <x v="2"/>
    <x v="117"/>
    <x v="0"/>
    <n v="0"/>
    <n v="0"/>
    <n v="0"/>
    <n v="0"/>
    <n v="1"/>
    <n v="0"/>
    <n v="0"/>
    <n v="0"/>
    <n v="0"/>
    <n v="1"/>
  </r>
  <r>
    <x v="0"/>
    <x v="118"/>
    <x v="0"/>
    <n v="0"/>
    <n v="0"/>
    <n v="0"/>
    <n v="6"/>
    <n v="0"/>
    <n v="0"/>
    <n v="0"/>
    <n v="0"/>
    <n v="0"/>
    <n v="6"/>
  </r>
  <r>
    <x v="1"/>
    <x v="119"/>
    <x v="0"/>
    <n v="0"/>
    <n v="0"/>
    <n v="0"/>
    <n v="0"/>
    <n v="2"/>
    <n v="0"/>
    <n v="132"/>
    <n v="112"/>
    <n v="25"/>
    <n v="271"/>
  </r>
  <r>
    <x v="0"/>
    <x v="120"/>
    <x v="0"/>
    <n v="0"/>
    <n v="0"/>
    <n v="0"/>
    <n v="0"/>
    <n v="0"/>
    <n v="0"/>
    <n v="0"/>
    <n v="28"/>
    <n v="663"/>
    <n v="691"/>
  </r>
  <r>
    <x v="0"/>
    <x v="121"/>
    <x v="0"/>
    <n v="2"/>
    <n v="31"/>
    <n v="6"/>
    <n v="0"/>
    <n v="0"/>
    <n v="0"/>
    <n v="0"/>
    <n v="0"/>
    <n v="0"/>
    <n v="39"/>
  </r>
  <r>
    <x v="0"/>
    <x v="122"/>
    <x v="0"/>
    <n v="2"/>
    <n v="53"/>
    <n v="132"/>
    <n v="145"/>
    <n v="92"/>
    <n v="39"/>
    <n v="288"/>
    <n v="1363"/>
    <n v="515"/>
    <n v="2629"/>
  </r>
  <r>
    <x v="0"/>
    <x v="123"/>
    <x v="0"/>
    <n v="0"/>
    <n v="1"/>
    <n v="0"/>
    <n v="0"/>
    <n v="0"/>
    <n v="0"/>
    <n v="0"/>
    <n v="0"/>
    <n v="0"/>
    <n v="1"/>
  </r>
  <r>
    <x v="0"/>
    <x v="124"/>
    <x v="0"/>
    <n v="0"/>
    <n v="0"/>
    <n v="0"/>
    <n v="0"/>
    <n v="3"/>
    <n v="7"/>
    <n v="3"/>
    <n v="40"/>
    <n v="25"/>
    <n v="78"/>
  </r>
  <r>
    <x v="1"/>
    <x v="125"/>
    <x v="0"/>
    <n v="0"/>
    <n v="0"/>
    <n v="0"/>
    <n v="0"/>
    <n v="0"/>
    <n v="0"/>
    <n v="0"/>
    <n v="4"/>
    <n v="3"/>
    <n v="7"/>
  </r>
  <r>
    <x v="1"/>
    <x v="126"/>
    <x v="5"/>
    <n v="78"/>
    <n v="43"/>
    <n v="7"/>
    <n v="7"/>
    <n v="1243"/>
    <n v="4633"/>
    <n v="25318"/>
    <n v="71940"/>
    <n v="73698"/>
    <n v="177128"/>
  </r>
  <r>
    <x v="0"/>
    <x v="126"/>
    <x v="6"/>
    <n v="58"/>
    <n v="86"/>
    <n v="113"/>
    <n v="21"/>
    <n v="19"/>
    <n v="0"/>
    <n v="0"/>
    <n v="4574"/>
    <n v="16461"/>
    <n v="21369"/>
  </r>
  <r>
    <x v="2"/>
    <x v="126"/>
    <x v="0"/>
    <n v="0"/>
    <n v="0"/>
    <n v="0"/>
    <n v="0"/>
    <n v="0"/>
    <n v="0"/>
    <n v="0"/>
    <n v="0"/>
    <n v="1"/>
    <n v="1"/>
  </r>
  <r>
    <x v="0"/>
    <x v="127"/>
    <x v="0"/>
    <n v="0"/>
    <n v="71"/>
    <n v="20"/>
    <n v="0"/>
    <n v="0"/>
    <n v="0"/>
    <n v="0"/>
    <n v="0"/>
    <n v="0"/>
    <n v="91"/>
  </r>
  <r>
    <x v="0"/>
    <x v="128"/>
    <x v="0"/>
    <n v="0"/>
    <n v="83"/>
    <n v="283"/>
    <n v="211"/>
    <n v="70"/>
    <n v="42"/>
    <n v="195"/>
    <n v="947"/>
    <n v="575"/>
    <n v="2406"/>
  </r>
  <r>
    <x v="0"/>
    <x v="129"/>
    <x v="0"/>
    <n v="0"/>
    <n v="0"/>
    <n v="0"/>
    <n v="0"/>
    <n v="0"/>
    <n v="1"/>
    <n v="0"/>
    <n v="0"/>
    <n v="0"/>
    <n v="1"/>
  </r>
  <r>
    <x v="0"/>
    <x v="130"/>
    <x v="0"/>
    <n v="0"/>
    <n v="21"/>
    <n v="87"/>
    <n v="94"/>
    <n v="31"/>
    <n v="86"/>
    <n v="64"/>
    <n v="105"/>
    <n v="99"/>
    <n v="587"/>
  </r>
  <r>
    <x v="2"/>
    <x v="130"/>
    <x v="0"/>
    <n v="0"/>
    <n v="0"/>
    <n v="0"/>
    <n v="1"/>
    <n v="0"/>
    <n v="0"/>
    <n v="0"/>
    <n v="0"/>
    <n v="0"/>
    <n v="1"/>
  </r>
  <r>
    <x v="0"/>
    <x v="131"/>
    <x v="0"/>
    <n v="0"/>
    <n v="0"/>
    <n v="0"/>
    <n v="0"/>
    <n v="0"/>
    <n v="0"/>
    <n v="0"/>
    <n v="7"/>
    <n v="21"/>
    <n v="28"/>
  </r>
  <r>
    <x v="2"/>
    <x v="132"/>
    <x v="2"/>
    <n v="0"/>
    <n v="0"/>
    <n v="0"/>
    <n v="0"/>
    <n v="0"/>
    <n v="0"/>
    <n v="0"/>
    <n v="0"/>
    <n v="0"/>
    <n v="1"/>
  </r>
  <r>
    <x v="0"/>
    <x v="133"/>
    <x v="0"/>
    <n v="0"/>
    <n v="0"/>
    <n v="0"/>
    <n v="0"/>
    <n v="0"/>
    <n v="13"/>
    <n v="105"/>
    <n v="146"/>
    <n v="112"/>
    <n v="376"/>
  </r>
  <r>
    <x v="0"/>
    <x v="134"/>
    <x v="0"/>
    <n v="2"/>
    <n v="155"/>
    <n v="295"/>
    <n v="315"/>
    <n v="178"/>
    <n v="237"/>
    <n v="333"/>
    <n v="274"/>
    <n v="159"/>
    <n v="1948"/>
  </r>
  <r>
    <x v="0"/>
    <x v="135"/>
    <x v="0"/>
    <n v="0"/>
    <n v="0"/>
    <n v="0"/>
    <n v="1"/>
    <n v="0"/>
    <n v="0"/>
    <n v="0"/>
    <n v="0"/>
    <n v="0"/>
    <n v="1"/>
  </r>
  <r>
    <x v="0"/>
    <x v="136"/>
    <x v="7"/>
    <n v="1321"/>
    <n v="30"/>
    <n v="1"/>
    <n v="0"/>
    <n v="0"/>
    <n v="0"/>
    <n v="0"/>
    <n v="0"/>
    <n v="0"/>
    <n v="2021"/>
  </r>
  <r>
    <x v="1"/>
    <x v="137"/>
    <x v="0"/>
    <n v="0"/>
    <n v="0"/>
    <n v="0"/>
    <n v="0"/>
    <n v="0"/>
    <n v="0"/>
    <n v="516"/>
    <n v="4139"/>
    <n v="1836"/>
    <n v="6491"/>
  </r>
  <r>
    <x v="0"/>
    <x v="138"/>
    <x v="0"/>
    <n v="0"/>
    <n v="0"/>
    <n v="0"/>
    <n v="0"/>
    <n v="0"/>
    <n v="0"/>
    <n v="0"/>
    <n v="271"/>
    <n v="1481"/>
    <n v="1752"/>
  </r>
  <r>
    <x v="0"/>
    <x v="139"/>
    <x v="0"/>
    <n v="0"/>
    <n v="0"/>
    <n v="1"/>
    <n v="0"/>
    <n v="0"/>
    <n v="0"/>
    <n v="0"/>
    <n v="0"/>
    <n v="0"/>
    <n v="1"/>
  </r>
  <r>
    <x v="1"/>
    <x v="140"/>
    <x v="0"/>
    <n v="0"/>
    <n v="0"/>
    <n v="0"/>
    <n v="0"/>
    <n v="567"/>
    <n v="4758"/>
    <n v="13130"/>
    <n v="3005"/>
    <n v="402"/>
    <n v="21862"/>
  </r>
  <r>
    <x v="0"/>
    <x v="141"/>
    <x v="0"/>
    <n v="0"/>
    <n v="13"/>
    <n v="160"/>
    <n v="122"/>
    <n v="77"/>
    <n v="91"/>
    <n v="254"/>
    <n v="382"/>
    <n v="137"/>
    <n v="1236"/>
  </r>
  <r>
    <x v="1"/>
    <x v="142"/>
    <x v="0"/>
    <n v="1"/>
    <n v="0"/>
    <n v="0"/>
    <n v="0"/>
    <n v="0"/>
    <n v="0"/>
    <n v="0"/>
    <n v="0"/>
    <n v="0"/>
    <n v="1"/>
  </r>
  <r>
    <x v="0"/>
    <x v="143"/>
    <x v="0"/>
    <n v="57"/>
    <n v="1501"/>
    <n v="2044"/>
    <n v="2312"/>
    <n v="2155"/>
    <n v="5022"/>
    <n v="6447"/>
    <n v="7902"/>
    <n v="3545"/>
    <n v="30985"/>
  </r>
  <r>
    <x v="0"/>
    <x v="144"/>
    <x v="2"/>
    <n v="147"/>
    <n v="271"/>
    <n v="11"/>
    <n v="8"/>
    <n v="50"/>
    <n v="179"/>
    <n v="141"/>
    <n v="33"/>
    <n v="0"/>
    <n v="841"/>
  </r>
  <r>
    <x v="0"/>
    <x v="145"/>
    <x v="0"/>
    <n v="0"/>
    <n v="2"/>
    <n v="0"/>
    <n v="0"/>
    <n v="15"/>
    <n v="21"/>
    <n v="12"/>
    <n v="12"/>
    <n v="10"/>
    <n v="72"/>
  </r>
  <r>
    <x v="1"/>
    <x v="146"/>
    <x v="0"/>
    <n v="0"/>
    <n v="0"/>
    <n v="0"/>
    <n v="0"/>
    <n v="0"/>
    <n v="0"/>
    <n v="1983"/>
    <n v="11454"/>
    <n v="10711"/>
    <n v="24148"/>
  </r>
  <r>
    <x v="0"/>
    <x v="147"/>
    <x v="0"/>
    <n v="0"/>
    <n v="0"/>
    <n v="0"/>
    <n v="0"/>
    <n v="0"/>
    <n v="6"/>
    <n v="7"/>
    <n v="106"/>
    <n v="81"/>
    <n v="200"/>
  </r>
  <r>
    <x v="0"/>
    <x v="148"/>
    <x v="0"/>
    <n v="0"/>
    <n v="0"/>
    <n v="0"/>
    <n v="0"/>
    <n v="0"/>
    <n v="0"/>
    <n v="0"/>
    <n v="2"/>
    <n v="0"/>
    <n v="2"/>
  </r>
  <r>
    <x v="0"/>
    <x v="149"/>
    <x v="0"/>
    <n v="0"/>
    <n v="1"/>
    <n v="0"/>
    <n v="2"/>
    <n v="122"/>
    <n v="456"/>
    <n v="1591"/>
    <n v="2682"/>
    <n v="1398"/>
    <n v="6252"/>
  </r>
  <r>
    <x v="0"/>
    <x v="150"/>
    <x v="0"/>
    <n v="0"/>
    <n v="0"/>
    <n v="0"/>
    <n v="0"/>
    <n v="23"/>
    <n v="456"/>
    <n v="1028"/>
    <n v="1814"/>
    <n v="1377"/>
    <n v="4698"/>
  </r>
  <r>
    <x v="0"/>
    <x v="151"/>
    <x v="0"/>
    <n v="0"/>
    <n v="30"/>
    <n v="426"/>
    <n v="565"/>
    <n v="460"/>
    <n v="227"/>
    <n v="307"/>
    <n v="673"/>
    <n v="1040"/>
    <n v="3728"/>
  </r>
  <r>
    <x v="2"/>
    <x v="151"/>
    <x v="0"/>
    <n v="0"/>
    <n v="0"/>
    <n v="0"/>
    <n v="0"/>
    <n v="0"/>
    <n v="0"/>
    <n v="0"/>
    <n v="0"/>
    <n v="1"/>
    <n v="1"/>
  </r>
  <r>
    <x v="0"/>
    <x v="152"/>
    <x v="0"/>
    <n v="0"/>
    <n v="18"/>
    <n v="24"/>
    <n v="10"/>
    <n v="4"/>
    <n v="4"/>
    <n v="52"/>
    <n v="72"/>
    <n v="24"/>
    <n v="208"/>
  </r>
  <r>
    <x v="2"/>
    <x v="153"/>
    <x v="8"/>
    <n v="8"/>
    <n v="1"/>
    <n v="4"/>
    <n v="0"/>
    <n v="0"/>
    <n v="0"/>
    <n v="0"/>
    <n v="0"/>
    <n v="0"/>
    <n v="15"/>
  </r>
  <r>
    <x v="1"/>
    <x v="154"/>
    <x v="0"/>
    <n v="0"/>
    <n v="0"/>
    <n v="0"/>
    <n v="0"/>
    <n v="0"/>
    <n v="8"/>
    <n v="45"/>
    <n v="65"/>
    <n v="4"/>
    <n v="122"/>
  </r>
  <r>
    <x v="2"/>
    <x v="155"/>
    <x v="2"/>
    <n v="0"/>
    <n v="0"/>
    <n v="5"/>
    <n v="0"/>
    <n v="0"/>
    <n v="0"/>
    <n v="163"/>
    <n v="1309"/>
    <n v="591"/>
    <n v="2069"/>
  </r>
  <r>
    <x v="1"/>
    <x v="156"/>
    <x v="0"/>
    <n v="0"/>
    <n v="0"/>
    <n v="0"/>
    <n v="0"/>
    <n v="0"/>
    <n v="0"/>
    <n v="484"/>
    <n v="207"/>
    <n v="326"/>
    <n v="1017"/>
  </r>
  <r>
    <x v="1"/>
    <x v="157"/>
    <x v="0"/>
    <n v="0"/>
    <n v="0"/>
    <n v="0"/>
    <n v="0"/>
    <n v="0"/>
    <n v="0"/>
    <n v="4514"/>
    <n v="3565"/>
    <n v="1598"/>
    <n v="9677"/>
  </r>
  <r>
    <x v="0"/>
    <x v="158"/>
    <x v="0"/>
    <n v="43"/>
    <n v="608"/>
    <n v="713"/>
    <n v="708"/>
    <n v="413"/>
    <n v="1708"/>
    <n v="3702"/>
    <n v="3695"/>
    <n v="1853"/>
    <n v="13443"/>
  </r>
  <r>
    <x v="0"/>
    <x v="159"/>
    <x v="0"/>
    <n v="0"/>
    <n v="0"/>
    <n v="0"/>
    <n v="0"/>
    <n v="9"/>
    <n v="4"/>
    <n v="7"/>
    <n v="31"/>
    <n v="1"/>
    <n v="52"/>
  </r>
  <r>
    <x v="1"/>
    <x v="160"/>
    <x v="2"/>
    <n v="0"/>
    <n v="0"/>
    <n v="0"/>
    <n v="0"/>
    <n v="0"/>
    <n v="0"/>
    <n v="0"/>
    <n v="0"/>
    <n v="0"/>
    <n v="1"/>
  </r>
  <r>
    <x v="0"/>
    <x v="161"/>
    <x v="0"/>
    <n v="0"/>
    <n v="0"/>
    <n v="0"/>
    <n v="0"/>
    <n v="0"/>
    <n v="0"/>
    <n v="0"/>
    <n v="0"/>
    <n v="41"/>
    <n v="41"/>
  </r>
  <r>
    <x v="0"/>
    <x v="162"/>
    <x v="0"/>
    <n v="0"/>
    <n v="21"/>
    <n v="3"/>
    <n v="0"/>
    <n v="0"/>
    <n v="0"/>
    <n v="0"/>
    <n v="0"/>
    <n v="0"/>
    <n v="24"/>
  </r>
  <r>
    <x v="2"/>
    <x v="163"/>
    <x v="0"/>
    <n v="0"/>
    <n v="0"/>
    <n v="0"/>
    <n v="0"/>
    <n v="0"/>
    <n v="0"/>
    <n v="0"/>
    <n v="0"/>
    <n v="2"/>
    <n v="2"/>
  </r>
  <r>
    <x v="2"/>
    <x v="164"/>
    <x v="0"/>
    <n v="0"/>
    <n v="0"/>
    <n v="0"/>
    <n v="0"/>
    <n v="0"/>
    <n v="2"/>
    <n v="453"/>
    <n v="2012"/>
    <n v="1401"/>
    <n v="3868"/>
  </r>
  <r>
    <x v="0"/>
    <x v="165"/>
    <x v="0"/>
    <n v="0"/>
    <n v="0"/>
    <n v="10"/>
    <n v="16"/>
    <n v="17"/>
    <n v="21"/>
    <n v="34"/>
    <n v="50"/>
    <n v="16"/>
    <n v="164"/>
  </r>
  <r>
    <x v="0"/>
    <x v="166"/>
    <x v="0"/>
    <n v="24"/>
    <n v="321"/>
    <n v="44"/>
    <n v="4"/>
    <n v="0"/>
    <n v="0"/>
    <n v="0"/>
    <n v="0"/>
    <n v="0"/>
    <n v="393"/>
  </r>
  <r>
    <x v="2"/>
    <x v="166"/>
    <x v="0"/>
    <n v="0"/>
    <n v="1"/>
    <n v="0"/>
    <n v="0"/>
    <n v="0"/>
    <n v="0"/>
    <n v="0"/>
    <n v="0"/>
    <n v="0"/>
    <n v="1"/>
  </r>
  <r>
    <x v="0"/>
    <x v="167"/>
    <x v="0"/>
    <n v="9"/>
    <n v="62"/>
    <n v="0"/>
    <n v="0"/>
    <n v="0"/>
    <n v="0"/>
    <n v="0"/>
    <n v="0"/>
    <n v="0"/>
    <n v="71"/>
  </r>
  <r>
    <x v="0"/>
    <x v="168"/>
    <x v="0"/>
    <n v="0"/>
    <n v="0"/>
    <n v="0"/>
    <n v="0"/>
    <n v="0"/>
    <n v="0"/>
    <n v="0"/>
    <n v="0"/>
    <n v="30"/>
    <n v="30"/>
  </r>
  <r>
    <x v="2"/>
    <x v="168"/>
    <x v="0"/>
    <n v="0"/>
    <n v="0"/>
    <n v="0"/>
    <n v="0"/>
    <n v="0"/>
    <n v="0"/>
    <n v="0"/>
    <n v="0"/>
    <n v="1"/>
    <n v="1"/>
  </r>
  <r>
    <x v="0"/>
    <x v="169"/>
    <x v="0"/>
    <n v="0"/>
    <n v="0"/>
    <n v="0"/>
    <n v="0"/>
    <n v="0"/>
    <n v="0"/>
    <n v="0"/>
    <n v="3"/>
    <n v="22"/>
    <n v="25"/>
  </r>
  <r>
    <x v="0"/>
    <x v="170"/>
    <x v="0"/>
    <n v="0"/>
    <n v="0"/>
    <n v="17"/>
    <n v="123"/>
    <n v="99"/>
    <n v="26"/>
    <n v="7"/>
    <n v="109"/>
    <n v="357"/>
    <n v="738"/>
  </r>
  <r>
    <x v="0"/>
    <x v="171"/>
    <x v="0"/>
    <n v="1"/>
    <n v="1"/>
    <n v="0"/>
    <n v="0"/>
    <n v="0"/>
    <n v="0"/>
    <n v="0"/>
    <n v="0"/>
    <n v="0"/>
    <n v="2"/>
  </r>
  <r>
    <x v="0"/>
    <x v="172"/>
    <x v="0"/>
    <n v="0"/>
    <n v="5"/>
    <n v="0"/>
    <n v="0"/>
    <n v="0"/>
    <n v="0"/>
    <n v="0"/>
    <n v="0"/>
    <n v="0"/>
    <n v="5"/>
  </r>
  <r>
    <x v="0"/>
    <x v="173"/>
    <x v="0"/>
    <n v="311"/>
    <n v="536"/>
    <n v="928"/>
    <n v="687"/>
    <n v="263"/>
    <n v="213"/>
    <n v="394"/>
    <n v="874"/>
    <n v="394"/>
    <n v="4600"/>
  </r>
  <r>
    <x v="0"/>
    <x v="174"/>
    <x v="0"/>
    <n v="0"/>
    <n v="0"/>
    <n v="0"/>
    <n v="0"/>
    <n v="6"/>
    <n v="9"/>
    <n v="11"/>
    <n v="0"/>
    <n v="93"/>
    <n v="119"/>
  </r>
  <r>
    <x v="0"/>
    <x v="175"/>
    <x v="0"/>
    <n v="2"/>
    <n v="2"/>
    <n v="0"/>
    <n v="0"/>
    <n v="0"/>
    <n v="0"/>
    <n v="0"/>
    <n v="0"/>
    <n v="0"/>
    <n v="4"/>
  </r>
  <r>
    <x v="0"/>
    <x v="176"/>
    <x v="0"/>
    <n v="492"/>
    <n v="1744"/>
    <n v="3005"/>
    <n v="4215"/>
    <n v="2741"/>
    <n v="6672"/>
    <n v="13091"/>
    <n v="14877"/>
    <n v="6654"/>
    <n v="53491"/>
  </r>
  <r>
    <x v="2"/>
    <x v="176"/>
    <x v="0"/>
    <n v="0"/>
    <n v="0"/>
    <n v="0"/>
    <n v="0"/>
    <n v="0"/>
    <n v="2"/>
    <n v="0"/>
    <n v="0"/>
    <n v="0"/>
    <n v="2"/>
  </r>
  <r>
    <x v="0"/>
    <x v="177"/>
    <x v="0"/>
    <n v="0"/>
    <n v="0"/>
    <n v="0"/>
    <n v="0"/>
    <n v="0"/>
    <n v="0"/>
    <n v="0"/>
    <n v="0"/>
    <n v="37"/>
    <n v="37"/>
  </r>
  <r>
    <x v="1"/>
    <x v="178"/>
    <x v="0"/>
    <n v="0"/>
    <n v="0"/>
    <n v="0"/>
    <n v="0"/>
    <n v="0"/>
    <n v="133"/>
    <n v="426"/>
    <n v="501"/>
    <n v="106"/>
    <n v="1166"/>
  </r>
  <r>
    <x v="0"/>
    <x v="179"/>
    <x v="0"/>
    <n v="3"/>
    <n v="8"/>
    <n v="0"/>
    <n v="0"/>
    <n v="0"/>
    <n v="0"/>
    <n v="0"/>
    <n v="0"/>
    <n v="0"/>
    <n v="11"/>
  </r>
  <r>
    <x v="0"/>
    <x v="180"/>
    <x v="0"/>
    <n v="0"/>
    <n v="0"/>
    <n v="0"/>
    <n v="84"/>
    <n v="56"/>
    <n v="22"/>
    <n v="6"/>
    <n v="6"/>
    <n v="0"/>
    <n v="174"/>
  </r>
  <r>
    <x v="0"/>
    <x v="181"/>
    <x v="0"/>
    <n v="0"/>
    <n v="1"/>
    <n v="0"/>
    <n v="0"/>
    <n v="0"/>
    <n v="0"/>
    <n v="0"/>
    <n v="0"/>
    <n v="0"/>
    <n v="1"/>
  </r>
  <r>
    <x v="2"/>
    <x v="181"/>
    <x v="0"/>
    <n v="0"/>
    <n v="1"/>
    <n v="1"/>
    <n v="0"/>
    <n v="0"/>
    <n v="0"/>
    <n v="0"/>
    <n v="0"/>
    <n v="0"/>
    <n v="2"/>
  </r>
  <r>
    <x v="0"/>
    <x v="182"/>
    <x v="0"/>
    <n v="0"/>
    <n v="0"/>
    <n v="17"/>
    <n v="121"/>
    <n v="86"/>
    <n v="118"/>
    <n v="406"/>
    <n v="571"/>
    <n v="380"/>
    <n v="1699"/>
  </r>
  <r>
    <x v="0"/>
    <x v="183"/>
    <x v="0"/>
    <n v="46"/>
    <n v="160"/>
    <n v="195"/>
    <n v="80"/>
    <n v="48"/>
    <n v="62"/>
    <n v="223"/>
    <n v="290"/>
    <n v="190"/>
    <n v="1294"/>
  </r>
  <r>
    <x v="1"/>
    <x v="184"/>
    <x v="0"/>
    <n v="0"/>
    <n v="0"/>
    <n v="0"/>
    <n v="0"/>
    <n v="0"/>
    <n v="0"/>
    <n v="0"/>
    <n v="4851"/>
    <n v="4"/>
    <n v="4855"/>
  </r>
  <r>
    <x v="0"/>
    <x v="185"/>
    <x v="0"/>
    <n v="6"/>
    <n v="0"/>
    <n v="0"/>
    <n v="0"/>
    <n v="0"/>
    <n v="0"/>
    <n v="0"/>
    <n v="0"/>
    <n v="0"/>
    <n v="6"/>
  </r>
  <r>
    <x v="1"/>
    <x v="186"/>
    <x v="0"/>
    <n v="0"/>
    <n v="0"/>
    <n v="0"/>
    <n v="0"/>
    <n v="0"/>
    <n v="0"/>
    <n v="0"/>
    <n v="135"/>
    <n v="154"/>
    <n v="289"/>
  </r>
  <r>
    <x v="1"/>
    <x v="187"/>
    <x v="0"/>
    <n v="0"/>
    <n v="0"/>
    <n v="0"/>
    <n v="0"/>
    <n v="0"/>
    <n v="0"/>
    <n v="0"/>
    <n v="0"/>
    <n v="10"/>
    <n v="10"/>
  </r>
  <r>
    <x v="0"/>
    <x v="188"/>
    <x v="0"/>
    <n v="0"/>
    <n v="0"/>
    <n v="19"/>
    <n v="4"/>
    <n v="0"/>
    <n v="0"/>
    <n v="0"/>
    <n v="0"/>
    <n v="0"/>
    <n v="23"/>
  </r>
  <r>
    <x v="1"/>
    <x v="189"/>
    <x v="0"/>
    <n v="0"/>
    <n v="0"/>
    <n v="0"/>
    <n v="0"/>
    <n v="0"/>
    <n v="0"/>
    <n v="0"/>
    <n v="0"/>
    <n v="1"/>
    <n v="1"/>
  </r>
  <r>
    <x v="1"/>
    <x v="190"/>
    <x v="0"/>
    <n v="3"/>
    <n v="0"/>
    <n v="0"/>
    <n v="0"/>
    <n v="0"/>
    <n v="0"/>
    <n v="0"/>
    <n v="0"/>
    <n v="0"/>
    <n v="3"/>
  </r>
  <r>
    <x v="0"/>
    <x v="191"/>
    <x v="0"/>
    <n v="0"/>
    <n v="0"/>
    <n v="0"/>
    <n v="24"/>
    <n v="26"/>
    <n v="28"/>
    <n v="36"/>
    <n v="28"/>
    <n v="8"/>
    <n v="150"/>
  </r>
  <r>
    <x v="0"/>
    <x v="192"/>
    <x v="0"/>
    <n v="0"/>
    <n v="132"/>
    <n v="395"/>
    <n v="429"/>
    <n v="292"/>
    <n v="586"/>
    <n v="827"/>
    <n v="930"/>
    <n v="301"/>
    <n v="3892"/>
  </r>
  <r>
    <x v="0"/>
    <x v="193"/>
    <x v="0"/>
    <n v="0"/>
    <n v="0"/>
    <n v="1"/>
    <n v="0"/>
    <n v="0"/>
    <n v="0"/>
    <n v="0"/>
    <n v="0"/>
    <n v="0"/>
    <n v="1"/>
  </r>
  <r>
    <x v="0"/>
    <x v="194"/>
    <x v="0"/>
    <n v="0"/>
    <n v="0"/>
    <n v="0"/>
    <n v="0"/>
    <n v="0"/>
    <n v="0"/>
    <n v="0"/>
    <n v="0"/>
    <n v="1"/>
    <n v="1"/>
  </r>
  <r>
    <x v="0"/>
    <x v="195"/>
    <x v="9"/>
    <n v="157"/>
    <n v="158"/>
    <n v="37"/>
    <n v="11"/>
    <n v="5"/>
    <n v="0"/>
    <n v="0"/>
    <n v="0"/>
    <n v="0"/>
    <n v="372"/>
  </r>
  <r>
    <x v="2"/>
    <x v="195"/>
    <x v="0"/>
    <n v="0"/>
    <n v="0"/>
    <n v="1"/>
    <n v="0"/>
    <n v="0"/>
    <n v="0"/>
    <n v="0"/>
    <n v="0"/>
    <n v="0"/>
    <n v="1"/>
  </r>
  <r>
    <x v="2"/>
    <x v="196"/>
    <x v="0"/>
    <n v="1"/>
    <n v="1"/>
    <n v="0"/>
    <n v="0"/>
    <n v="0"/>
    <n v="0"/>
    <n v="0"/>
    <n v="0"/>
    <n v="0"/>
    <n v="2"/>
  </r>
  <r>
    <x v="0"/>
    <x v="197"/>
    <x v="0"/>
    <n v="0"/>
    <n v="57"/>
    <n v="1"/>
    <n v="1"/>
    <n v="11"/>
    <n v="92"/>
    <n v="571"/>
    <n v="2749"/>
    <n v="425"/>
    <n v="3907"/>
  </r>
  <r>
    <x v="2"/>
    <x v="197"/>
    <x v="0"/>
    <n v="0"/>
    <n v="0"/>
    <n v="0"/>
    <n v="0"/>
    <n v="0"/>
    <n v="0"/>
    <n v="2"/>
    <n v="0"/>
    <n v="0"/>
    <n v="2"/>
  </r>
  <r>
    <x v="0"/>
    <x v="198"/>
    <x v="0"/>
    <n v="0"/>
    <n v="60"/>
    <n v="7"/>
    <n v="21"/>
    <n v="0"/>
    <n v="0"/>
    <n v="0"/>
    <n v="0"/>
    <n v="0"/>
    <n v="88"/>
  </r>
  <r>
    <x v="0"/>
    <x v="199"/>
    <x v="0"/>
    <n v="0"/>
    <n v="0"/>
    <n v="0"/>
    <n v="2"/>
    <n v="14"/>
    <n v="7"/>
    <n v="24"/>
    <n v="96"/>
    <n v="37"/>
    <n v="180"/>
  </r>
  <r>
    <x v="0"/>
    <x v="200"/>
    <x v="0"/>
    <n v="0"/>
    <n v="0"/>
    <n v="0"/>
    <n v="11"/>
    <n v="29"/>
    <n v="31"/>
    <n v="46"/>
    <n v="32"/>
    <n v="2"/>
    <n v="151"/>
  </r>
  <r>
    <x v="0"/>
    <x v="201"/>
    <x v="0"/>
    <n v="0"/>
    <n v="3"/>
    <n v="0"/>
    <n v="0"/>
    <n v="0"/>
    <n v="0"/>
    <n v="0"/>
    <n v="0"/>
    <n v="0"/>
    <n v="3"/>
  </r>
  <r>
    <x v="0"/>
    <x v="202"/>
    <x v="0"/>
    <n v="0"/>
    <n v="0"/>
    <n v="0"/>
    <n v="0"/>
    <n v="0"/>
    <n v="0"/>
    <n v="0"/>
    <n v="0"/>
    <n v="5"/>
    <n v="5"/>
  </r>
  <r>
    <x v="0"/>
    <x v="203"/>
    <x v="0"/>
    <n v="0"/>
    <n v="2"/>
    <n v="0"/>
    <n v="0"/>
    <n v="0"/>
    <n v="0"/>
    <n v="0"/>
    <n v="0"/>
    <n v="0"/>
    <n v="2"/>
  </r>
  <r>
    <x v="2"/>
    <x v="204"/>
    <x v="0"/>
    <n v="0"/>
    <n v="0"/>
    <n v="0"/>
    <n v="0"/>
    <n v="2"/>
    <n v="0"/>
    <n v="0"/>
    <n v="0"/>
    <n v="0"/>
    <n v="2"/>
  </r>
  <r>
    <x v="0"/>
    <x v="205"/>
    <x v="0"/>
    <n v="1"/>
    <n v="1"/>
    <n v="0"/>
    <n v="0"/>
    <n v="0"/>
    <n v="0"/>
    <n v="0"/>
    <n v="0"/>
    <n v="0"/>
    <n v="2"/>
  </r>
  <r>
    <x v="0"/>
    <x v="206"/>
    <x v="0"/>
    <n v="0"/>
    <n v="0"/>
    <n v="0"/>
    <n v="0"/>
    <n v="30"/>
    <n v="1125"/>
    <n v="3225"/>
    <n v="5925"/>
    <n v="2871"/>
    <n v="13176"/>
  </r>
  <r>
    <x v="0"/>
    <x v="207"/>
    <x v="0"/>
    <n v="0"/>
    <n v="0"/>
    <n v="1"/>
    <n v="0"/>
    <n v="0"/>
    <n v="0"/>
    <n v="0"/>
    <n v="0"/>
    <n v="0"/>
    <n v="1"/>
  </r>
  <r>
    <x v="1"/>
    <x v="208"/>
    <x v="0"/>
    <n v="0"/>
    <n v="0"/>
    <n v="0"/>
    <n v="0"/>
    <n v="0"/>
    <n v="0"/>
    <n v="102"/>
    <n v="283"/>
    <n v="72"/>
    <n v="457"/>
  </r>
  <r>
    <x v="0"/>
    <x v="209"/>
    <x v="0"/>
    <n v="1"/>
    <n v="3"/>
    <n v="0"/>
    <n v="0"/>
    <n v="0"/>
    <n v="0"/>
    <n v="0"/>
    <n v="0"/>
    <n v="0"/>
    <n v="4"/>
  </r>
  <r>
    <x v="0"/>
    <x v="210"/>
    <x v="0"/>
    <n v="0"/>
    <n v="0"/>
    <n v="75"/>
    <n v="149"/>
    <n v="40"/>
    <n v="55"/>
    <n v="83"/>
    <n v="122"/>
    <n v="73"/>
    <n v="597"/>
  </r>
  <r>
    <x v="0"/>
    <x v="211"/>
    <x v="0"/>
    <n v="0"/>
    <n v="567"/>
    <n v="854"/>
    <n v="1031"/>
    <n v="387"/>
    <n v="285"/>
    <n v="243"/>
    <n v="311"/>
    <n v="120"/>
    <n v="3798"/>
  </r>
  <r>
    <x v="0"/>
    <x v="212"/>
    <x v="0"/>
    <n v="136"/>
    <n v="274"/>
    <n v="397"/>
    <n v="222"/>
    <n v="62"/>
    <n v="8"/>
    <n v="13"/>
    <n v="2"/>
    <n v="0"/>
    <n v="1114"/>
  </r>
  <r>
    <x v="0"/>
    <x v="213"/>
    <x v="0"/>
    <n v="0"/>
    <n v="0"/>
    <n v="0"/>
    <n v="119"/>
    <n v="114"/>
    <n v="345"/>
    <n v="720"/>
    <n v="1563"/>
    <n v="1048"/>
    <n v="3909"/>
  </r>
  <r>
    <x v="0"/>
    <x v="214"/>
    <x v="0"/>
    <n v="0"/>
    <n v="4"/>
    <n v="46"/>
    <n v="12"/>
    <n v="3"/>
    <n v="3"/>
    <n v="4"/>
    <n v="12"/>
    <n v="14"/>
    <n v="98"/>
  </r>
  <r>
    <x v="0"/>
    <x v="215"/>
    <x v="0"/>
    <n v="0"/>
    <n v="0"/>
    <n v="0"/>
    <n v="1"/>
    <n v="0"/>
    <n v="0"/>
    <n v="0"/>
    <n v="0"/>
    <n v="0"/>
    <n v="1"/>
  </r>
  <r>
    <x v="0"/>
    <x v="216"/>
    <x v="0"/>
    <n v="0"/>
    <n v="1"/>
    <n v="0"/>
    <n v="0"/>
    <n v="0"/>
    <n v="0"/>
    <n v="0"/>
    <n v="0"/>
    <n v="0"/>
    <n v="1"/>
  </r>
  <r>
    <x v="0"/>
    <x v="217"/>
    <x v="0"/>
    <n v="0"/>
    <n v="12"/>
    <n v="330"/>
    <n v="896"/>
    <n v="1100"/>
    <n v="755"/>
    <n v="1334"/>
    <n v="2466"/>
    <n v="1246"/>
    <n v="8139"/>
  </r>
  <r>
    <x v="0"/>
    <x v="218"/>
    <x v="0"/>
    <n v="0"/>
    <n v="0"/>
    <n v="192"/>
    <n v="106"/>
    <n v="5"/>
    <n v="0"/>
    <n v="0"/>
    <n v="8"/>
    <n v="21"/>
    <n v="332"/>
  </r>
  <r>
    <x v="0"/>
    <x v="219"/>
    <x v="0"/>
    <n v="0"/>
    <n v="0"/>
    <n v="0"/>
    <n v="0"/>
    <n v="16"/>
    <n v="30"/>
    <n v="1"/>
    <n v="0"/>
    <n v="0"/>
    <n v="47"/>
  </r>
  <r>
    <x v="0"/>
    <x v="220"/>
    <x v="0"/>
    <n v="0"/>
    <n v="0"/>
    <n v="0"/>
    <n v="0"/>
    <n v="0"/>
    <n v="0"/>
    <n v="0"/>
    <n v="0"/>
    <n v="287"/>
    <n v="287"/>
  </r>
  <r>
    <x v="0"/>
    <x v="221"/>
    <x v="2"/>
    <n v="7"/>
    <n v="3"/>
    <n v="0"/>
    <n v="0"/>
    <n v="0"/>
    <n v="0"/>
    <n v="0"/>
    <n v="0"/>
    <n v="0"/>
    <n v="11"/>
  </r>
  <r>
    <x v="0"/>
    <x v="222"/>
    <x v="0"/>
    <n v="0"/>
    <n v="0"/>
    <n v="4"/>
    <n v="0"/>
    <n v="0"/>
    <n v="0"/>
    <n v="0"/>
    <n v="12"/>
    <n v="83"/>
    <n v="99"/>
  </r>
  <r>
    <x v="0"/>
    <x v="223"/>
    <x v="0"/>
    <n v="0"/>
    <n v="0"/>
    <n v="0"/>
    <n v="0"/>
    <n v="0"/>
    <n v="0"/>
    <n v="0"/>
    <n v="29"/>
    <n v="26"/>
    <n v="55"/>
  </r>
  <r>
    <x v="0"/>
    <x v="224"/>
    <x v="0"/>
    <n v="0"/>
    <n v="0"/>
    <n v="0"/>
    <n v="163"/>
    <n v="140"/>
    <n v="141"/>
    <n v="104"/>
    <n v="34"/>
    <n v="14"/>
    <n v="596"/>
  </r>
  <r>
    <x v="2"/>
    <x v="225"/>
    <x v="2"/>
    <n v="0"/>
    <n v="0"/>
    <n v="0"/>
    <n v="0"/>
    <n v="0"/>
    <n v="0"/>
    <n v="0"/>
    <n v="0"/>
    <n v="0"/>
    <n v="1"/>
  </r>
  <r>
    <x v="0"/>
    <x v="226"/>
    <x v="0"/>
    <n v="0"/>
    <n v="0"/>
    <n v="0"/>
    <n v="0"/>
    <n v="0"/>
    <n v="0"/>
    <n v="0"/>
    <n v="0"/>
    <n v="81"/>
    <n v="81"/>
  </r>
  <r>
    <x v="0"/>
    <x v="227"/>
    <x v="0"/>
    <n v="0"/>
    <n v="0"/>
    <n v="10"/>
    <n v="2"/>
    <n v="0"/>
    <n v="26"/>
    <n v="303"/>
    <n v="604"/>
    <n v="234"/>
    <n v="1179"/>
  </r>
  <r>
    <x v="2"/>
    <x v="228"/>
    <x v="0"/>
    <n v="0"/>
    <n v="0"/>
    <n v="1"/>
    <n v="0"/>
    <n v="0"/>
    <n v="0"/>
    <n v="0"/>
    <n v="0"/>
    <n v="0"/>
    <n v="1"/>
  </r>
  <r>
    <x v="0"/>
    <x v="229"/>
    <x v="0"/>
    <n v="0"/>
    <n v="0"/>
    <n v="0"/>
    <n v="0"/>
    <n v="0"/>
    <n v="0"/>
    <n v="0"/>
    <n v="0"/>
    <n v="1"/>
    <n v="1"/>
  </r>
  <r>
    <x v="0"/>
    <x v="230"/>
    <x v="0"/>
    <n v="1"/>
    <n v="0"/>
    <n v="0"/>
    <n v="0"/>
    <n v="1"/>
    <n v="0"/>
    <n v="0"/>
    <n v="0"/>
    <n v="0"/>
    <n v="2"/>
  </r>
  <r>
    <x v="1"/>
    <x v="231"/>
    <x v="0"/>
    <n v="0"/>
    <n v="0"/>
    <n v="0"/>
    <n v="0"/>
    <n v="0"/>
    <n v="0"/>
    <n v="2"/>
    <n v="0"/>
    <n v="0"/>
    <n v="2"/>
  </r>
  <r>
    <x v="0"/>
    <x v="231"/>
    <x v="10"/>
    <n v="1573"/>
    <n v="2205"/>
    <n v="3404"/>
    <n v="3954"/>
    <n v="2541"/>
    <n v="5361"/>
    <n v="13987"/>
    <n v="25071"/>
    <n v="11832"/>
    <n v="69944"/>
  </r>
  <r>
    <x v="2"/>
    <x v="231"/>
    <x v="0"/>
    <n v="2"/>
    <n v="1"/>
    <n v="7"/>
    <n v="2"/>
    <n v="0"/>
    <n v="1"/>
    <n v="2"/>
    <n v="5"/>
    <n v="0"/>
    <n v="20"/>
  </r>
  <r>
    <x v="0"/>
    <x v="232"/>
    <x v="0"/>
    <n v="14"/>
    <n v="129"/>
    <n v="18"/>
    <n v="10"/>
    <n v="3"/>
    <n v="2"/>
    <n v="0"/>
    <n v="0"/>
    <n v="0"/>
    <n v="176"/>
  </r>
  <r>
    <x v="0"/>
    <x v="233"/>
    <x v="0"/>
    <n v="3"/>
    <n v="50"/>
    <n v="213"/>
    <n v="96"/>
    <n v="27"/>
    <n v="33"/>
    <n v="142"/>
    <n v="145"/>
    <n v="43"/>
    <n v="752"/>
  </r>
  <r>
    <x v="0"/>
    <x v="234"/>
    <x v="0"/>
    <n v="0"/>
    <n v="0"/>
    <n v="0"/>
    <n v="45"/>
    <n v="3"/>
    <n v="0"/>
    <n v="0"/>
    <n v="0"/>
    <n v="0"/>
    <n v="48"/>
  </r>
  <r>
    <x v="0"/>
    <x v="235"/>
    <x v="0"/>
    <n v="0"/>
    <n v="3"/>
    <n v="126"/>
    <n v="355"/>
    <n v="169"/>
    <n v="416"/>
    <n v="744"/>
    <n v="1026"/>
    <n v="403"/>
    <n v="3242"/>
  </r>
  <r>
    <x v="3"/>
    <x v="236"/>
    <x v="2"/>
    <n v="0"/>
    <n v="0"/>
    <n v="0"/>
    <n v="0"/>
    <n v="0"/>
    <n v="0"/>
    <n v="0"/>
    <n v="0"/>
    <n v="0"/>
    <n v="1"/>
  </r>
  <r>
    <x v="0"/>
    <x v="237"/>
    <x v="0"/>
    <n v="0"/>
    <n v="0"/>
    <n v="10"/>
    <n v="6"/>
    <n v="1"/>
    <n v="2"/>
    <n v="0"/>
    <n v="0"/>
    <n v="0"/>
    <n v="19"/>
  </r>
  <r>
    <x v="1"/>
    <x v="238"/>
    <x v="0"/>
    <n v="0"/>
    <n v="0"/>
    <n v="0"/>
    <n v="0"/>
    <n v="0"/>
    <n v="0"/>
    <n v="0"/>
    <n v="11"/>
    <n v="1"/>
    <n v="12"/>
  </r>
  <r>
    <x v="0"/>
    <x v="238"/>
    <x v="0"/>
    <n v="0"/>
    <n v="0"/>
    <n v="0"/>
    <n v="0"/>
    <n v="0"/>
    <n v="0"/>
    <n v="0"/>
    <n v="0"/>
    <n v="23"/>
    <n v="23"/>
  </r>
  <r>
    <x v="0"/>
    <x v="239"/>
    <x v="0"/>
    <n v="0"/>
    <n v="5"/>
    <n v="22"/>
    <n v="72"/>
    <n v="132"/>
    <n v="17"/>
    <n v="14"/>
    <n v="26"/>
    <n v="1"/>
    <n v="289"/>
  </r>
  <r>
    <x v="1"/>
    <x v="240"/>
    <x v="2"/>
    <n v="2"/>
    <n v="0"/>
    <n v="0"/>
    <n v="0"/>
    <n v="0"/>
    <n v="0"/>
    <n v="0"/>
    <n v="0"/>
    <n v="0"/>
    <n v="3"/>
  </r>
  <r>
    <x v="0"/>
    <x v="241"/>
    <x v="0"/>
    <n v="0"/>
    <n v="0"/>
    <n v="0"/>
    <n v="0"/>
    <n v="0"/>
    <n v="0"/>
    <n v="0"/>
    <n v="3"/>
    <n v="27"/>
    <n v="30"/>
  </r>
  <r>
    <x v="0"/>
    <x v="242"/>
    <x v="0"/>
    <n v="0"/>
    <n v="0"/>
    <n v="1"/>
    <n v="0"/>
    <n v="0"/>
    <n v="0"/>
    <n v="0"/>
    <n v="0"/>
    <n v="0"/>
    <n v="1"/>
  </r>
  <r>
    <x v="0"/>
    <x v="243"/>
    <x v="0"/>
    <n v="0"/>
    <n v="4"/>
    <n v="1"/>
    <n v="0"/>
    <n v="0"/>
    <n v="0"/>
    <n v="0"/>
    <n v="0"/>
    <n v="0"/>
    <n v="5"/>
  </r>
  <r>
    <x v="0"/>
    <x v="244"/>
    <x v="0"/>
    <n v="0"/>
    <n v="0"/>
    <n v="55"/>
    <n v="271"/>
    <n v="259"/>
    <n v="428"/>
    <n v="610"/>
    <n v="934"/>
    <n v="444"/>
    <n v="3001"/>
  </r>
  <r>
    <x v="0"/>
    <x v="245"/>
    <x v="0"/>
    <n v="0"/>
    <n v="0"/>
    <n v="0"/>
    <n v="11"/>
    <n v="9"/>
    <n v="0"/>
    <n v="0"/>
    <n v="0"/>
    <n v="0"/>
    <n v="20"/>
  </r>
  <r>
    <x v="0"/>
    <x v="246"/>
    <x v="0"/>
    <n v="0"/>
    <n v="0"/>
    <n v="1"/>
    <n v="7"/>
    <n v="17"/>
    <n v="0"/>
    <n v="0"/>
    <n v="0"/>
    <n v="0"/>
    <n v="25"/>
  </r>
  <r>
    <x v="1"/>
    <x v="247"/>
    <x v="0"/>
    <n v="0"/>
    <n v="0"/>
    <n v="0"/>
    <n v="0"/>
    <n v="0"/>
    <n v="0"/>
    <n v="0"/>
    <n v="2"/>
    <n v="0"/>
    <n v="2"/>
  </r>
  <r>
    <x v="0"/>
    <x v="248"/>
    <x v="0"/>
    <n v="0"/>
    <n v="0"/>
    <n v="142"/>
    <n v="48"/>
    <n v="2"/>
    <n v="11"/>
    <n v="11"/>
    <n v="0"/>
    <n v="1"/>
    <n v="215"/>
  </r>
  <r>
    <x v="0"/>
    <x v="249"/>
    <x v="0"/>
    <n v="27"/>
    <n v="777"/>
    <n v="473"/>
    <n v="1150"/>
    <n v="243"/>
    <n v="121"/>
    <n v="421"/>
    <n v="751"/>
    <n v="495"/>
    <n v="4458"/>
  </r>
  <r>
    <x v="0"/>
    <x v="250"/>
    <x v="2"/>
    <n v="4"/>
    <n v="130"/>
    <n v="2"/>
    <n v="0"/>
    <n v="1"/>
    <n v="0"/>
    <n v="0"/>
    <n v="0"/>
    <n v="0"/>
    <n v="138"/>
  </r>
  <r>
    <x v="1"/>
    <x v="251"/>
    <x v="0"/>
    <n v="0"/>
    <n v="0"/>
    <n v="0"/>
    <n v="0"/>
    <n v="0"/>
    <n v="0"/>
    <n v="0"/>
    <n v="5"/>
    <n v="0"/>
    <n v="5"/>
  </r>
  <r>
    <x v="0"/>
    <x v="251"/>
    <x v="0"/>
    <n v="0"/>
    <n v="0"/>
    <n v="0"/>
    <n v="0"/>
    <n v="0"/>
    <n v="448"/>
    <n v="1381"/>
    <n v="1296"/>
    <n v="479"/>
    <n v="3604"/>
  </r>
  <r>
    <x v="0"/>
    <x v="252"/>
    <x v="0"/>
    <n v="0"/>
    <n v="0"/>
    <n v="0"/>
    <n v="0"/>
    <n v="1"/>
    <n v="0"/>
    <n v="0"/>
    <n v="0"/>
    <n v="0"/>
    <n v="1"/>
  </r>
  <r>
    <x v="1"/>
    <x v="253"/>
    <x v="0"/>
    <n v="0"/>
    <n v="0"/>
    <n v="0"/>
    <n v="0"/>
    <n v="0"/>
    <n v="0"/>
    <n v="0"/>
    <n v="0"/>
    <n v="1"/>
    <n v="1"/>
  </r>
  <r>
    <x v="0"/>
    <x v="254"/>
    <x v="0"/>
    <n v="0"/>
    <n v="0"/>
    <n v="0"/>
    <n v="3"/>
    <n v="23"/>
    <n v="74"/>
    <n v="129"/>
    <n v="240"/>
    <n v="86"/>
    <n v="555"/>
  </r>
  <r>
    <x v="0"/>
    <x v="255"/>
    <x v="0"/>
    <n v="0"/>
    <n v="0"/>
    <n v="0"/>
    <n v="0"/>
    <n v="0"/>
    <n v="0"/>
    <n v="1"/>
    <n v="17"/>
    <n v="16"/>
    <n v="34"/>
  </r>
  <r>
    <x v="0"/>
    <x v="256"/>
    <x v="0"/>
    <n v="0"/>
    <n v="0"/>
    <n v="0"/>
    <n v="0"/>
    <n v="0"/>
    <n v="19"/>
    <n v="47"/>
    <n v="74"/>
    <n v="55"/>
    <n v="195"/>
  </r>
  <r>
    <x v="1"/>
    <x v="257"/>
    <x v="0"/>
    <n v="0"/>
    <n v="0"/>
    <n v="0"/>
    <n v="0"/>
    <n v="20"/>
    <n v="280"/>
    <n v="728"/>
    <n v="595"/>
    <n v="127"/>
    <n v="1750"/>
  </r>
  <r>
    <x v="0"/>
    <x v="258"/>
    <x v="0"/>
    <n v="0"/>
    <n v="0"/>
    <n v="115"/>
    <n v="58"/>
    <n v="14"/>
    <n v="154"/>
    <n v="453"/>
    <n v="1245"/>
    <n v="816"/>
    <n v="2855"/>
  </r>
  <r>
    <x v="1"/>
    <x v="259"/>
    <x v="0"/>
    <n v="0"/>
    <n v="0"/>
    <n v="0"/>
    <n v="0"/>
    <n v="0"/>
    <n v="0"/>
    <n v="0"/>
    <n v="0"/>
    <n v="44"/>
    <n v="44"/>
  </r>
  <r>
    <x v="0"/>
    <x v="260"/>
    <x v="0"/>
    <n v="0"/>
    <n v="18"/>
    <n v="61"/>
    <n v="147"/>
    <n v="53"/>
    <n v="9"/>
    <n v="29"/>
    <n v="1"/>
    <n v="165"/>
    <n v="483"/>
  </r>
  <r>
    <x v="0"/>
    <x v="261"/>
    <x v="0"/>
    <n v="0"/>
    <n v="0"/>
    <n v="0"/>
    <n v="7"/>
    <n v="8"/>
    <n v="8"/>
    <n v="4"/>
    <n v="7"/>
    <n v="0"/>
    <n v="34"/>
  </r>
  <r>
    <x v="0"/>
    <x v="262"/>
    <x v="0"/>
    <n v="0"/>
    <n v="0"/>
    <n v="0"/>
    <n v="2"/>
    <n v="0"/>
    <n v="0"/>
    <n v="0"/>
    <n v="0"/>
    <n v="0"/>
    <n v="2"/>
  </r>
  <r>
    <x v="0"/>
    <x v="263"/>
    <x v="0"/>
    <n v="1"/>
    <n v="4"/>
    <n v="0"/>
    <n v="0"/>
    <n v="0"/>
    <n v="0"/>
    <n v="0"/>
    <n v="0"/>
    <n v="0"/>
    <n v="5"/>
  </r>
  <r>
    <x v="0"/>
    <x v="264"/>
    <x v="0"/>
    <n v="0"/>
    <n v="0"/>
    <n v="0"/>
    <n v="16"/>
    <n v="29"/>
    <n v="36"/>
    <n v="49"/>
    <n v="89"/>
    <n v="20"/>
    <n v="239"/>
  </r>
  <r>
    <x v="0"/>
    <x v="265"/>
    <x v="0"/>
    <n v="0"/>
    <n v="0"/>
    <n v="11"/>
    <n v="13"/>
    <n v="5"/>
    <n v="14"/>
    <n v="20"/>
    <n v="1"/>
    <n v="0"/>
    <n v="64"/>
  </r>
  <r>
    <x v="0"/>
    <x v="266"/>
    <x v="0"/>
    <n v="0"/>
    <n v="0"/>
    <n v="0"/>
    <n v="0"/>
    <n v="0"/>
    <n v="0"/>
    <n v="82"/>
    <n v="526"/>
    <n v="170"/>
    <n v="778"/>
  </r>
  <r>
    <x v="0"/>
    <x v="267"/>
    <x v="0"/>
    <n v="0"/>
    <n v="0"/>
    <n v="0"/>
    <n v="0"/>
    <n v="0"/>
    <n v="0"/>
    <n v="12"/>
    <n v="125"/>
    <n v="202"/>
    <n v="339"/>
  </r>
  <r>
    <x v="0"/>
    <x v="268"/>
    <x v="0"/>
    <n v="0"/>
    <n v="1"/>
    <n v="0"/>
    <n v="0"/>
    <n v="0"/>
    <n v="0"/>
    <n v="0"/>
    <n v="0"/>
    <n v="0"/>
    <n v="1"/>
  </r>
  <r>
    <x v="2"/>
    <x v="268"/>
    <x v="0"/>
    <n v="3"/>
    <n v="0"/>
    <n v="0"/>
    <n v="0"/>
    <n v="0"/>
    <n v="0"/>
    <n v="0"/>
    <n v="0"/>
    <n v="0"/>
    <n v="3"/>
  </r>
  <r>
    <x v="1"/>
    <x v="269"/>
    <x v="0"/>
    <n v="0"/>
    <n v="0"/>
    <n v="0"/>
    <n v="1"/>
    <n v="0"/>
    <n v="0"/>
    <n v="0"/>
    <n v="0"/>
    <n v="0"/>
    <n v="1"/>
  </r>
  <r>
    <x v="2"/>
    <x v="270"/>
    <x v="9"/>
    <n v="2"/>
    <n v="4"/>
    <n v="0"/>
    <n v="0"/>
    <n v="0"/>
    <n v="0"/>
    <n v="0"/>
    <n v="0"/>
    <n v="0"/>
    <n v="10"/>
  </r>
  <r>
    <x v="1"/>
    <x v="271"/>
    <x v="11"/>
    <n v="0"/>
    <n v="8"/>
    <n v="0"/>
    <n v="0"/>
    <n v="0"/>
    <n v="0"/>
    <n v="0"/>
    <n v="0"/>
    <n v="0"/>
    <n v="18"/>
  </r>
  <r>
    <x v="0"/>
    <x v="271"/>
    <x v="0"/>
    <n v="1"/>
    <n v="0"/>
    <n v="0"/>
    <n v="0"/>
    <n v="0"/>
    <n v="0"/>
    <n v="0"/>
    <n v="0"/>
    <n v="0"/>
    <n v="1"/>
  </r>
  <r>
    <x v="0"/>
    <x v="272"/>
    <x v="0"/>
    <n v="0"/>
    <n v="39"/>
    <n v="58"/>
    <n v="23"/>
    <n v="19"/>
    <n v="0"/>
    <n v="0"/>
    <n v="7"/>
    <n v="8"/>
    <n v="154"/>
  </r>
  <r>
    <x v="1"/>
    <x v="273"/>
    <x v="0"/>
    <n v="0"/>
    <n v="0"/>
    <n v="0"/>
    <n v="2"/>
    <n v="9"/>
    <n v="40"/>
    <n v="93"/>
    <n v="72"/>
    <n v="40"/>
    <n v="256"/>
  </r>
  <r>
    <x v="0"/>
    <x v="273"/>
    <x v="0"/>
    <n v="0"/>
    <n v="0"/>
    <n v="4"/>
    <n v="181"/>
    <n v="29"/>
    <n v="9"/>
    <n v="0"/>
    <n v="0"/>
    <n v="0"/>
    <n v="223"/>
  </r>
  <r>
    <x v="1"/>
    <x v="274"/>
    <x v="0"/>
    <n v="0"/>
    <n v="0"/>
    <n v="0"/>
    <n v="0"/>
    <n v="0"/>
    <n v="0"/>
    <n v="0"/>
    <n v="43"/>
    <n v="2"/>
    <n v="45"/>
  </r>
  <r>
    <x v="0"/>
    <x v="275"/>
    <x v="0"/>
    <n v="0"/>
    <n v="0"/>
    <n v="0"/>
    <n v="0"/>
    <n v="0"/>
    <n v="0"/>
    <n v="0"/>
    <n v="1"/>
    <n v="0"/>
    <n v="1"/>
  </r>
  <r>
    <x v="1"/>
    <x v="276"/>
    <x v="12"/>
    <n v="136"/>
    <n v="26"/>
    <n v="4"/>
    <n v="0"/>
    <n v="0"/>
    <n v="0"/>
    <n v="0"/>
    <n v="0"/>
    <n v="0"/>
    <n v="344"/>
  </r>
  <r>
    <x v="0"/>
    <x v="276"/>
    <x v="13"/>
    <n v="763"/>
    <n v="919"/>
    <n v="147"/>
    <n v="10"/>
    <n v="0"/>
    <n v="0"/>
    <n v="0"/>
    <n v="0"/>
    <n v="0"/>
    <n v="1883"/>
  </r>
  <r>
    <x v="2"/>
    <x v="276"/>
    <x v="0"/>
    <n v="1"/>
    <n v="11"/>
    <n v="1"/>
    <n v="0"/>
    <n v="0"/>
    <n v="0"/>
    <n v="0"/>
    <n v="0"/>
    <n v="0"/>
    <n v="13"/>
  </r>
  <r>
    <x v="1"/>
    <x v="277"/>
    <x v="0"/>
    <n v="0"/>
    <n v="15"/>
    <n v="48"/>
    <n v="2"/>
    <n v="0"/>
    <n v="0"/>
    <n v="0"/>
    <n v="0"/>
    <n v="0"/>
    <n v="65"/>
  </r>
  <r>
    <x v="0"/>
    <x v="277"/>
    <x v="2"/>
    <n v="282"/>
    <n v="627"/>
    <n v="1184"/>
    <n v="270"/>
    <n v="60"/>
    <n v="35"/>
    <n v="5"/>
    <n v="4"/>
    <n v="0"/>
    <n v="2468"/>
  </r>
  <r>
    <x v="2"/>
    <x v="277"/>
    <x v="0"/>
    <n v="0"/>
    <n v="0"/>
    <n v="1"/>
    <n v="0"/>
    <n v="0"/>
    <n v="0"/>
    <n v="0"/>
    <n v="0"/>
    <n v="0"/>
    <n v="1"/>
  </r>
  <r>
    <x v="0"/>
    <x v="278"/>
    <x v="0"/>
    <n v="0"/>
    <n v="0"/>
    <n v="0"/>
    <n v="53"/>
    <n v="33"/>
    <n v="18"/>
    <n v="49"/>
    <n v="11"/>
    <n v="8"/>
    <n v="172"/>
  </r>
  <r>
    <x v="0"/>
    <x v="279"/>
    <x v="0"/>
    <n v="0"/>
    <n v="2"/>
    <n v="0"/>
    <n v="0"/>
    <n v="0"/>
    <n v="0"/>
    <n v="0"/>
    <n v="0"/>
    <n v="0"/>
    <n v="2"/>
  </r>
  <r>
    <x v="0"/>
    <x v="280"/>
    <x v="0"/>
    <n v="55"/>
    <n v="50"/>
    <n v="85"/>
    <n v="16"/>
    <n v="75"/>
    <n v="229"/>
    <n v="509"/>
    <n v="1200"/>
    <n v="934"/>
    <n v="3153"/>
  </r>
  <r>
    <x v="1"/>
    <x v="281"/>
    <x v="0"/>
    <n v="0"/>
    <n v="0"/>
    <n v="0"/>
    <n v="0"/>
    <n v="0"/>
    <n v="402"/>
    <n v="735"/>
    <n v="230"/>
    <n v="82"/>
    <n v="1449"/>
  </r>
  <r>
    <x v="1"/>
    <x v="282"/>
    <x v="0"/>
    <n v="0"/>
    <n v="0"/>
    <n v="0"/>
    <n v="0"/>
    <n v="0"/>
    <n v="3"/>
    <n v="0"/>
    <n v="0"/>
    <n v="0"/>
    <n v="3"/>
  </r>
  <r>
    <x v="0"/>
    <x v="283"/>
    <x v="0"/>
    <n v="0"/>
    <n v="6"/>
    <n v="61"/>
    <n v="11"/>
    <n v="10"/>
    <n v="108"/>
    <n v="367"/>
    <n v="470"/>
    <n v="259"/>
    <n v="1292"/>
  </r>
  <r>
    <x v="0"/>
    <x v="284"/>
    <x v="0"/>
    <n v="361"/>
    <n v="1928"/>
    <n v="2606"/>
    <n v="2407"/>
    <n v="1324"/>
    <n v="3070"/>
    <n v="6263"/>
    <n v="11080"/>
    <n v="6782"/>
    <n v="35821"/>
  </r>
  <r>
    <x v="0"/>
    <x v="285"/>
    <x v="0"/>
    <n v="0"/>
    <n v="0"/>
    <n v="0"/>
    <n v="0"/>
    <n v="4"/>
    <n v="1"/>
    <n v="0"/>
    <n v="188"/>
    <n v="184"/>
    <n v="377"/>
  </r>
  <r>
    <x v="1"/>
    <x v="286"/>
    <x v="0"/>
    <n v="0"/>
    <n v="0"/>
    <n v="0"/>
    <n v="0"/>
    <n v="0"/>
    <n v="0"/>
    <n v="141"/>
    <n v="472"/>
    <n v="237"/>
    <n v="850"/>
  </r>
  <r>
    <x v="1"/>
    <x v="287"/>
    <x v="0"/>
    <n v="0"/>
    <n v="0"/>
    <n v="0"/>
    <n v="0"/>
    <n v="0"/>
    <n v="0"/>
    <n v="0"/>
    <n v="2"/>
    <n v="13"/>
    <n v="15"/>
  </r>
  <r>
    <x v="0"/>
    <x v="288"/>
    <x v="0"/>
    <n v="177"/>
    <n v="200"/>
    <n v="128"/>
    <n v="101"/>
    <n v="131"/>
    <n v="148"/>
    <n v="188"/>
    <n v="587"/>
    <n v="599"/>
    <n v="2259"/>
  </r>
  <r>
    <x v="0"/>
    <x v="289"/>
    <x v="0"/>
    <n v="4"/>
    <n v="185"/>
    <n v="181"/>
    <n v="160"/>
    <n v="55"/>
    <n v="62"/>
    <n v="43"/>
    <n v="31"/>
    <n v="6"/>
    <n v="727"/>
  </r>
  <r>
    <x v="0"/>
    <x v="290"/>
    <x v="0"/>
    <n v="0"/>
    <n v="0"/>
    <n v="0"/>
    <n v="0"/>
    <n v="0"/>
    <n v="0"/>
    <n v="0"/>
    <n v="55"/>
    <n v="48"/>
    <n v="103"/>
  </r>
  <r>
    <x v="2"/>
    <x v="290"/>
    <x v="0"/>
    <n v="0"/>
    <n v="0"/>
    <n v="0"/>
    <n v="0"/>
    <n v="0"/>
    <n v="0"/>
    <n v="0"/>
    <n v="1"/>
    <n v="1"/>
    <n v="2"/>
  </r>
  <r>
    <x v="0"/>
    <x v="291"/>
    <x v="0"/>
    <n v="1"/>
    <n v="0"/>
    <n v="0"/>
    <n v="0"/>
    <n v="0"/>
    <n v="0"/>
    <n v="0"/>
    <n v="0"/>
    <n v="0"/>
    <n v="1"/>
  </r>
  <r>
    <x v="2"/>
    <x v="292"/>
    <x v="0"/>
    <n v="4"/>
    <n v="0"/>
    <n v="2"/>
    <n v="0"/>
    <n v="0"/>
    <n v="0"/>
    <n v="0"/>
    <n v="0"/>
    <n v="0"/>
    <n v="6"/>
  </r>
  <r>
    <x v="0"/>
    <x v="293"/>
    <x v="0"/>
    <n v="1"/>
    <n v="0"/>
    <n v="0"/>
    <n v="0"/>
    <n v="0"/>
    <n v="0"/>
    <n v="0"/>
    <n v="0"/>
    <n v="0"/>
    <n v="1"/>
  </r>
  <r>
    <x v="2"/>
    <x v="293"/>
    <x v="0"/>
    <n v="1"/>
    <n v="0"/>
    <n v="0"/>
    <n v="0"/>
    <n v="0"/>
    <n v="1"/>
    <n v="1"/>
    <n v="5"/>
    <n v="0"/>
    <n v="8"/>
  </r>
  <r>
    <x v="1"/>
    <x v="294"/>
    <x v="0"/>
    <n v="0"/>
    <n v="0"/>
    <n v="0"/>
    <n v="0"/>
    <n v="0"/>
    <n v="0"/>
    <n v="0"/>
    <n v="116"/>
    <n v="331"/>
    <n v="447"/>
  </r>
  <r>
    <x v="1"/>
    <x v="295"/>
    <x v="0"/>
    <n v="0"/>
    <n v="0"/>
    <n v="0"/>
    <n v="0"/>
    <n v="0"/>
    <n v="0"/>
    <n v="0"/>
    <n v="0"/>
    <n v="1"/>
    <n v="1"/>
  </r>
  <r>
    <x v="0"/>
    <x v="296"/>
    <x v="0"/>
    <n v="0"/>
    <n v="0"/>
    <n v="1"/>
    <n v="0"/>
    <n v="0"/>
    <n v="0"/>
    <n v="0"/>
    <n v="0"/>
    <n v="0"/>
    <n v="1"/>
  </r>
  <r>
    <x v="0"/>
    <x v="297"/>
    <x v="0"/>
    <n v="0"/>
    <n v="0"/>
    <n v="0"/>
    <n v="0"/>
    <n v="0"/>
    <n v="75"/>
    <n v="179"/>
    <n v="80"/>
    <n v="6"/>
    <n v="340"/>
  </r>
  <r>
    <x v="2"/>
    <x v="297"/>
    <x v="0"/>
    <n v="0"/>
    <n v="0"/>
    <n v="0"/>
    <n v="0"/>
    <n v="0"/>
    <n v="0"/>
    <n v="1"/>
    <n v="4"/>
    <n v="0"/>
    <n v="5"/>
  </r>
  <r>
    <x v="0"/>
    <x v="298"/>
    <x v="0"/>
    <n v="0"/>
    <n v="0"/>
    <n v="49"/>
    <n v="143"/>
    <n v="63"/>
    <n v="119"/>
    <n v="647"/>
    <n v="2595"/>
    <n v="2104"/>
    <n v="5720"/>
  </r>
  <r>
    <x v="2"/>
    <x v="298"/>
    <x v="0"/>
    <n v="0"/>
    <n v="0"/>
    <n v="0"/>
    <n v="0"/>
    <n v="0"/>
    <n v="0"/>
    <n v="7"/>
    <n v="3"/>
    <n v="2"/>
    <n v="12"/>
  </r>
  <r>
    <x v="2"/>
    <x v="299"/>
    <x v="0"/>
    <n v="0"/>
    <n v="0"/>
    <n v="0"/>
    <n v="0"/>
    <n v="0"/>
    <n v="0"/>
    <n v="3"/>
    <n v="44"/>
    <n v="60"/>
    <n v="107"/>
  </r>
  <r>
    <x v="0"/>
    <x v="300"/>
    <x v="0"/>
    <n v="0"/>
    <n v="0"/>
    <n v="0"/>
    <n v="0"/>
    <n v="0"/>
    <n v="0"/>
    <n v="15"/>
    <n v="31"/>
    <n v="18"/>
    <n v="64"/>
  </r>
  <r>
    <x v="0"/>
    <x v="301"/>
    <x v="0"/>
    <n v="0"/>
    <n v="0"/>
    <n v="0"/>
    <n v="0"/>
    <n v="0"/>
    <n v="0"/>
    <n v="57"/>
    <n v="14"/>
    <n v="327"/>
    <n v="398"/>
  </r>
  <r>
    <x v="0"/>
    <x v="302"/>
    <x v="0"/>
    <n v="0"/>
    <n v="0"/>
    <n v="0"/>
    <n v="0"/>
    <n v="0"/>
    <n v="0"/>
    <n v="0"/>
    <n v="1"/>
    <n v="0"/>
    <n v="1"/>
  </r>
  <r>
    <x v="0"/>
    <x v="303"/>
    <x v="0"/>
    <n v="0"/>
    <n v="0"/>
    <n v="1"/>
    <n v="67"/>
    <n v="66"/>
    <n v="134"/>
    <n v="298"/>
    <n v="166"/>
    <n v="36"/>
    <n v="768"/>
  </r>
  <r>
    <x v="0"/>
    <x v="304"/>
    <x v="0"/>
    <n v="0"/>
    <n v="0"/>
    <n v="10"/>
    <n v="3"/>
    <n v="1"/>
    <n v="5"/>
    <n v="2"/>
    <n v="0"/>
    <n v="2"/>
    <n v="23"/>
  </r>
  <r>
    <x v="1"/>
    <x v="305"/>
    <x v="0"/>
    <n v="0"/>
    <n v="0"/>
    <n v="0"/>
    <n v="0"/>
    <n v="0"/>
    <n v="0"/>
    <n v="162"/>
    <n v="540"/>
    <n v="123"/>
    <n v="825"/>
  </r>
  <r>
    <x v="1"/>
    <x v="306"/>
    <x v="0"/>
    <n v="0"/>
    <n v="0"/>
    <n v="0"/>
    <n v="0"/>
    <n v="0"/>
    <n v="0"/>
    <n v="127"/>
    <n v="83"/>
    <n v="13"/>
    <n v="223"/>
  </r>
  <r>
    <x v="0"/>
    <x v="307"/>
    <x v="0"/>
    <n v="0"/>
    <n v="0"/>
    <n v="0"/>
    <n v="1"/>
    <n v="274"/>
    <n v="519"/>
    <n v="1056"/>
    <n v="2379"/>
    <n v="1318"/>
    <n v="5547"/>
  </r>
  <r>
    <x v="0"/>
    <x v="308"/>
    <x v="0"/>
    <n v="1"/>
    <n v="0"/>
    <n v="1"/>
    <n v="0"/>
    <n v="0"/>
    <n v="0"/>
    <n v="0"/>
    <n v="0"/>
    <n v="0"/>
    <n v="2"/>
  </r>
  <r>
    <x v="0"/>
    <x v="309"/>
    <x v="0"/>
    <n v="0"/>
    <n v="0"/>
    <n v="0"/>
    <n v="0"/>
    <n v="56"/>
    <n v="214"/>
    <n v="401"/>
    <n v="614"/>
    <n v="470"/>
    <n v="1755"/>
  </r>
  <r>
    <x v="0"/>
    <x v="310"/>
    <x v="0"/>
    <n v="0"/>
    <n v="0"/>
    <n v="3"/>
    <n v="4"/>
    <n v="6"/>
    <n v="0"/>
    <n v="0"/>
    <n v="0"/>
    <n v="0"/>
    <n v="13"/>
  </r>
  <r>
    <x v="0"/>
    <x v="311"/>
    <x v="0"/>
    <n v="0"/>
    <n v="49"/>
    <n v="200"/>
    <n v="111"/>
    <n v="12"/>
    <n v="15"/>
    <n v="177"/>
    <n v="218"/>
    <n v="90"/>
    <n v="872"/>
  </r>
  <r>
    <x v="0"/>
    <x v="312"/>
    <x v="0"/>
    <n v="0"/>
    <n v="0"/>
    <n v="0"/>
    <n v="0"/>
    <n v="0"/>
    <n v="0"/>
    <n v="0"/>
    <n v="0"/>
    <n v="10"/>
    <n v="10"/>
  </r>
  <r>
    <x v="0"/>
    <x v="313"/>
    <x v="0"/>
    <n v="0"/>
    <n v="0"/>
    <n v="0"/>
    <n v="0"/>
    <n v="0"/>
    <n v="0"/>
    <n v="395"/>
    <n v="900"/>
    <n v="496"/>
    <n v="1791"/>
  </r>
  <r>
    <x v="1"/>
    <x v="314"/>
    <x v="0"/>
    <n v="0"/>
    <n v="0"/>
    <n v="0"/>
    <n v="0"/>
    <n v="0"/>
    <n v="0"/>
    <n v="5"/>
    <n v="106"/>
    <n v="58"/>
    <n v="169"/>
  </r>
  <r>
    <x v="0"/>
    <x v="315"/>
    <x v="0"/>
    <n v="0"/>
    <n v="0"/>
    <n v="0"/>
    <n v="0"/>
    <n v="0"/>
    <n v="0"/>
    <n v="268"/>
    <n v="546"/>
    <n v="281"/>
    <n v="1095"/>
  </r>
  <r>
    <x v="0"/>
    <x v="316"/>
    <x v="0"/>
    <n v="0"/>
    <n v="0"/>
    <n v="0"/>
    <n v="0"/>
    <n v="0"/>
    <n v="1"/>
    <n v="31"/>
    <n v="17"/>
    <n v="2"/>
    <n v="51"/>
  </r>
  <r>
    <x v="0"/>
    <x v="317"/>
    <x v="0"/>
    <n v="6"/>
    <n v="48"/>
    <n v="30"/>
    <n v="15"/>
    <n v="6"/>
    <n v="1"/>
    <n v="23"/>
    <n v="119"/>
    <n v="83"/>
    <n v="331"/>
  </r>
  <r>
    <x v="2"/>
    <x v="318"/>
    <x v="0"/>
    <n v="1"/>
    <n v="0"/>
    <n v="0"/>
    <n v="0"/>
    <n v="0"/>
    <n v="0"/>
    <n v="0"/>
    <n v="0"/>
    <n v="0"/>
    <n v="1"/>
  </r>
  <r>
    <x v="0"/>
    <x v="319"/>
    <x v="0"/>
    <n v="0"/>
    <n v="0"/>
    <n v="1"/>
    <n v="0"/>
    <n v="0"/>
    <n v="0"/>
    <n v="0"/>
    <n v="0"/>
    <n v="0"/>
    <n v="1"/>
  </r>
  <r>
    <x v="2"/>
    <x v="319"/>
    <x v="2"/>
    <n v="0"/>
    <n v="0"/>
    <n v="1"/>
    <n v="0"/>
    <n v="0"/>
    <n v="0"/>
    <n v="0"/>
    <n v="0"/>
    <n v="0"/>
    <n v="2"/>
  </r>
  <r>
    <x v="0"/>
    <x v="320"/>
    <x v="0"/>
    <n v="0"/>
    <n v="0"/>
    <n v="0"/>
    <n v="0"/>
    <n v="0"/>
    <n v="0"/>
    <n v="0"/>
    <n v="0"/>
    <n v="6"/>
    <n v="6"/>
  </r>
  <r>
    <x v="1"/>
    <x v="321"/>
    <x v="0"/>
    <n v="0"/>
    <n v="0"/>
    <n v="0"/>
    <n v="0"/>
    <n v="0"/>
    <n v="0"/>
    <n v="0"/>
    <n v="57"/>
    <n v="21"/>
    <n v="78"/>
  </r>
  <r>
    <x v="1"/>
    <x v="322"/>
    <x v="0"/>
    <n v="0"/>
    <n v="0"/>
    <n v="0"/>
    <n v="0"/>
    <n v="0"/>
    <n v="0"/>
    <n v="0"/>
    <n v="0"/>
    <n v="2"/>
    <n v="2"/>
  </r>
  <r>
    <x v="1"/>
    <x v="323"/>
    <x v="0"/>
    <n v="0"/>
    <n v="0"/>
    <n v="0"/>
    <n v="0"/>
    <n v="0"/>
    <n v="0"/>
    <n v="0"/>
    <n v="16"/>
    <n v="4"/>
    <n v="20"/>
  </r>
  <r>
    <x v="0"/>
    <x v="324"/>
    <x v="0"/>
    <n v="0"/>
    <n v="47"/>
    <n v="457"/>
    <n v="688"/>
    <n v="318"/>
    <n v="447"/>
    <n v="699"/>
    <n v="1430"/>
    <n v="648"/>
    <n v="4734"/>
  </r>
  <r>
    <x v="2"/>
    <x v="324"/>
    <x v="0"/>
    <n v="0"/>
    <n v="0"/>
    <n v="1"/>
    <n v="0"/>
    <n v="0"/>
    <n v="0"/>
    <n v="0"/>
    <n v="0"/>
    <n v="0"/>
    <n v="1"/>
  </r>
  <r>
    <x v="0"/>
    <x v="325"/>
    <x v="0"/>
    <n v="0"/>
    <n v="0"/>
    <n v="44"/>
    <n v="68"/>
    <n v="5"/>
    <n v="1"/>
    <n v="2"/>
    <n v="0"/>
    <n v="0"/>
    <n v="120"/>
  </r>
  <r>
    <x v="0"/>
    <x v="326"/>
    <x v="0"/>
    <n v="0"/>
    <n v="0"/>
    <n v="0"/>
    <n v="0"/>
    <n v="0"/>
    <n v="0"/>
    <n v="9"/>
    <n v="3"/>
    <n v="22"/>
    <n v="34"/>
  </r>
  <r>
    <x v="0"/>
    <x v="327"/>
    <x v="0"/>
    <n v="0"/>
    <n v="0"/>
    <n v="0"/>
    <n v="0"/>
    <n v="0"/>
    <n v="0"/>
    <n v="0"/>
    <n v="74"/>
    <n v="479"/>
    <n v="553"/>
  </r>
  <r>
    <x v="0"/>
    <x v="328"/>
    <x v="0"/>
    <n v="0"/>
    <n v="816"/>
    <n v="1626"/>
    <n v="2257"/>
    <n v="2405"/>
    <n v="2491"/>
    <n v="4151"/>
    <n v="5514"/>
    <n v="2850"/>
    <n v="22110"/>
  </r>
  <r>
    <x v="2"/>
    <x v="328"/>
    <x v="0"/>
    <n v="0"/>
    <n v="1"/>
    <n v="0"/>
    <n v="0"/>
    <n v="0"/>
    <n v="0"/>
    <n v="0"/>
    <n v="0"/>
    <n v="0"/>
    <n v="1"/>
  </r>
  <r>
    <x v="0"/>
    <x v="329"/>
    <x v="0"/>
    <n v="0"/>
    <n v="0"/>
    <n v="0"/>
    <n v="0"/>
    <n v="0"/>
    <n v="0"/>
    <n v="0"/>
    <n v="383"/>
    <n v="508"/>
    <n v="891"/>
  </r>
  <r>
    <x v="2"/>
    <x v="330"/>
    <x v="0"/>
    <n v="0"/>
    <n v="0"/>
    <n v="0"/>
    <n v="0"/>
    <n v="0"/>
    <n v="0"/>
    <n v="0"/>
    <n v="1"/>
    <n v="0"/>
    <n v="1"/>
  </r>
  <r>
    <x v="0"/>
    <x v="331"/>
    <x v="0"/>
    <n v="0"/>
    <n v="0"/>
    <n v="0"/>
    <n v="0"/>
    <n v="0"/>
    <n v="0"/>
    <n v="0"/>
    <n v="188"/>
    <n v="19"/>
    <n v="207"/>
  </r>
  <r>
    <x v="2"/>
    <x v="332"/>
    <x v="2"/>
    <n v="0"/>
    <n v="0"/>
    <n v="0"/>
    <n v="0"/>
    <n v="0"/>
    <n v="0"/>
    <n v="0"/>
    <n v="0"/>
    <n v="0"/>
    <n v="1"/>
  </r>
  <r>
    <x v="0"/>
    <x v="333"/>
    <x v="0"/>
    <n v="0"/>
    <n v="8"/>
    <n v="0"/>
    <n v="0"/>
    <n v="0"/>
    <n v="0"/>
    <n v="0"/>
    <n v="0"/>
    <n v="0"/>
    <n v="8"/>
  </r>
  <r>
    <x v="1"/>
    <x v="334"/>
    <x v="0"/>
    <n v="0"/>
    <n v="0"/>
    <n v="0"/>
    <n v="0"/>
    <n v="0"/>
    <n v="0"/>
    <n v="0"/>
    <n v="0"/>
    <n v="163"/>
    <n v="163"/>
  </r>
  <r>
    <x v="0"/>
    <x v="335"/>
    <x v="0"/>
    <n v="0"/>
    <n v="0"/>
    <n v="0"/>
    <n v="15"/>
    <n v="7"/>
    <n v="6"/>
    <n v="10"/>
    <n v="1"/>
    <n v="0"/>
    <n v="39"/>
  </r>
  <r>
    <x v="0"/>
    <x v="336"/>
    <x v="0"/>
    <n v="0"/>
    <n v="0"/>
    <n v="0"/>
    <n v="10"/>
    <n v="28"/>
    <n v="63"/>
    <n v="0"/>
    <n v="0"/>
    <n v="0"/>
    <n v="101"/>
  </r>
  <r>
    <x v="0"/>
    <x v="337"/>
    <x v="0"/>
    <n v="0"/>
    <n v="6"/>
    <n v="117"/>
    <n v="195"/>
    <n v="81"/>
    <n v="428"/>
    <n v="2048"/>
    <n v="2950"/>
    <n v="1053"/>
    <n v="6878"/>
  </r>
  <r>
    <x v="0"/>
    <x v="338"/>
    <x v="2"/>
    <n v="1"/>
    <n v="3"/>
    <n v="0"/>
    <n v="0"/>
    <n v="0"/>
    <n v="0"/>
    <n v="0"/>
    <n v="0"/>
    <n v="0"/>
    <n v="5"/>
  </r>
  <r>
    <x v="0"/>
    <x v="339"/>
    <x v="0"/>
    <n v="0"/>
    <n v="0"/>
    <n v="0"/>
    <n v="9"/>
    <n v="1"/>
    <n v="0"/>
    <n v="0"/>
    <n v="0"/>
    <n v="0"/>
    <n v="10"/>
  </r>
  <r>
    <x v="1"/>
    <x v="340"/>
    <x v="14"/>
    <n v="1"/>
    <n v="0"/>
    <n v="0"/>
    <n v="0"/>
    <n v="0"/>
    <n v="0"/>
    <n v="0"/>
    <n v="0"/>
    <n v="0"/>
    <n v="4"/>
  </r>
  <r>
    <x v="0"/>
    <x v="340"/>
    <x v="0"/>
    <n v="0"/>
    <n v="1"/>
    <n v="0"/>
    <n v="0"/>
    <n v="0"/>
    <n v="0"/>
    <n v="0"/>
    <n v="0"/>
    <n v="0"/>
    <n v="1"/>
  </r>
  <r>
    <x v="2"/>
    <x v="340"/>
    <x v="2"/>
    <n v="0"/>
    <n v="0"/>
    <n v="0"/>
    <n v="0"/>
    <n v="0"/>
    <n v="0"/>
    <n v="0"/>
    <n v="0"/>
    <n v="0"/>
    <n v="1"/>
  </r>
  <r>
    <x v="0"/>
    <x v="341"/>
    <x v="0"/>
    <n v="0"/>
    <n v="0"/>
    <n v="0"/>
    <n v="1"/>
    <n v="6"/>
    <n v="4"/>
    <n v="0"/>
    <n v="0"/>
    <n v="0"/>
    <n v="11"/>
  </r>
  <r>
    <x v="0"/>
    <x v="342"/>
    <x v="0"/>
    <n v="0"/>
    <n v="0"/>
    <n v="4"/>
    <n v="0"/>
    <n v="0"/>
    <n v="0"/>
    <n v="0"/>
    <n v="0"/>
    <n v="0"/>
    <n v="4"/>
  </r>
  <r>
    <x v="0"/>
    <x v="343"/>
    <x v="0"/>
    <n v="0"/>
    <n v="0"/>
    <n v="0"/>
    <n v="0"/>
    <n v="0"/>
    <n v="0"/>
    <n v="0"/>
    <n v="1"/>
    <n v="0"/>
    <n v="1"/>
  </r>
  <r>
    <x v="0"/>
    <x v="344"/>
    <x v="0"/>
    <n v="1"/>
    <n v="0"/>
    <n v="0"/>
    <n v="0"/>
    <n v="0"/>
    <n v="0"/>
    <n v="0"/>
    <n v="0"/>
    <n v="0"/>
    <n v="1"/>
  </r>
  <r>
    <x v="0"/>
    <x v="345"/>
    <x v="0"/>
    <n v="0"/>
    <n v="207"/>
    <n v="565"/>
    <n v="472"/>
    <n v="238"/>
    <n v="392"/>
    <n v="864"/>
    <n v="711"/>
    <n v="277"/>
    <n v="3726"/>
  </r>
  <r>
    <x v="2"/>
    <x v="345"/>
    <x v="0"/>
    <n v="0"/>
    <n v="0"/>
    <n v="0"/>
    <n v="1"/>
    <n v="0"/>
    <n v="0"/>
    <n v="0"/>
    <n v="0"/>
    <n v="0"/>
    <n v="1"/>
  </r>
  <r>
    <x v="1"/>
    <x v="346"/>
    <x v="0"/>
    <n v="0"/>
    <n v="0"/>
    <n v="0"/>
    <n v="0"/>
    <n v="0"/>
    <n v="9"/>
    <n v="7"/>
    <n v="11"/>
    <n v="0"/>
    <n v="27"/>
  </r>
  <r>
    <x v="0"/>
    <x v="347"/>
    <x v="0"/>
    <n v="0"/>
    <n v="0"/>
    <n v="0"/>
    <n v="7"/>
    <n v="0"/>
    <n v="0"/>
    <n v="12"/>
    <n v="5"/>
    <n v="10"/>
    <n v="34"/>
  </r>
  <r>
    <x v="1"/>
    <x v="348"/>
    <x v="0"/>
    <n v="0"/>
    <n v="0"/>
    <n v="0"/>
    <n v="0"/>
    <n v="0"/>
    <n v="0"/>
    <n v="0"/>
    <n v="128"/>
    <n v="184"/>
    <n v="312"/>
  </r>
  <r>
    <x v="0"/>
    <x v="348"/>
    <x v="0"/>
    <n v="0"/>
    <n v="0"/>
    <n v="0"/>
    <n v="0"/>
    <n v="0"/>
    <n v="0"/>
    <n v="0"/>
    <n v="145"/>
    <n v="155"/>
    <n v="300"/>
  </r>
  <r>
    <x v="0"/>
    <x v="349"/>
    <x v="0"/>
    <n v="0"/>
    <n v="0"/>
    <n v="1"/>
    <n v="93"/>
    <n v="48"/>
    <n v="55"/>
    <n v="86"/>
    <n v="74"/>
    <n v="32"/>
    <n v="389"/>
  </r>
  <r>
    <x v="2"/>
    <x v="350"/>
    <x v="15"/>
    <n v="6"/>
    <n v="15"/>
    <n v="1"/>
    <n v="0"/>
    <n v="0"/>
    <n v="1"/>
    <n v="0"/>
    <n v="2"/>
    <n v="0"/>
    <n v="40"/>
  </r>
  <r>
    <x v="0"/>
    <x v="351"/>
    <x v="4"/>
    <n v="195"/>
    <n v="55"/>
    <n v="9"/>
    <n v="0"/>
    <n v="0"/>
    <n v="0"/>
    <n v="0"/>
    <n v="0"/>
    <n v="0"/>
    <n v="294"/>
  </r>
  <r>
    <x v="2"/>
    <x v="351"/>
    <x v="0"/>
    <n v="1"/>
    <n v="2"/>
    <n v="15"/>
    <n v="0"/>
    <n v="0"/>
    <n v="0"/>
    <n v="0"/>
    <n v="0"/>
    <n v="0"/>
    <n v="18"/>
  </r>
  <r>
    <x v="0"/>
    <x v="352"/>
    <x v="0"/>
    <n v="73"/>
    <n v="348"/>
    <n v="506"/>
    <n v="693"/>
    <n v="787"/>
    <n v="743"/>
    <n v="644"/>
    <n v="462"/>
    <n v="36"/>
    <n v="4292"/>
  </r>
  <r>
    <x v="2"/>
    <x v="352"/>
    <x v="0"/>
    <n v="0"/>
    <n v="0"/>
    <n v="1"/>
    <n v="0"/>
    <n v="0"/>
    <n v="0"/>
    <n v="0"/>
    <n v="0"/>
    <n v="0"/>
    <n v="1"/>
  </r>
  <r>
    <x v="1"/>
    <x v="353"/>
    <x v="0"/>
    <n v="0"/>
    <n v="0"/>
    <n v="0"/>
    <n v="0"/>
    <n v="0"/>
    <n v="0"/>
    <n v="0"/>
    <n v="71"/>
    <n v="0"/>
    <n v="71"/>
  </r>
  <r>
    <x v="1"/>
    <x v="354"/>
    <x v="0"/>
    <n v="0"/>
    <n v="0"/>
    <n v="0"/>
    <n v="0"/>
    <n v="0"/>
    <n v="0"/>
    <n v="0"/>
    <n v="18"/>
    <n v="115"/>
    <n v="133"/>
  </r>
  <r>
    <x v="0"/>
    <x v="355"/>
    <x v="0"/>
    <n v="0"/>
    <n v="0"/>
    <n v="0"/>
    <n v="0"/>
    <n v="0"/>
    <n v="0"/>
    <n v="0"/>
    <n v="1"/>
    <n v="0"/>
    <n v="1"/>
  </r>
  <r>
    <x v="1"/>
    <x v="356"/>
    <x v="0"/>
    <n v="0"/>
    <n v="0"/>
    <n v="0"/>
    <n v="0"/>
    <n v="0"/>
    <n v="0"/>
    <n v="0"/>
    <n v="1"/>
    <n v="1"/>
    <n v="2"/>
  </r>
  <r>
    <x v="0"/>
    <x v="357"/>
    <x v="2"/>
    <n v="19"/>
    <n v="36"/>
    <n v="2"/>
    <n v="3"/>
    <n v="0"/>
    <n v="0"/>
    <n v="0"/>
    <n v="0"/>
    <n v="0"/>
    <n v="61"/>
  </r>
  <r>
    <x v="0"/>
    <x v="358"/>
    <x v="0"/>
    <n v="15"/>
    <n v="21"/>
    <n v="3"/>
    <n v="0"/>
    <n v="1"/>
    <n v="0"/>
    <n v="0"/>
    <n v="0"/>
    <n v="0"/>
    <n v="40"/>
  </r>
  <r>
    <x v="0"/>
    <x v="359"/>
    <x v="0"/>
    <n v="97"/>
    <n v="86"/>
    <n v="5"/>
    <n v="0"/>
    <n v="0"/>
    <n v="0"/>
    <n v="0"/>
    <n v="0"/>
    <n v="0"/>
    <n v="188"/>
  </r>
  <r>
    <x v="0"/>
    <x v="360"/>
    <x v="0"/>
    <n v="0"/>
    <n v="3"/>
    <n v="59"/>
    <n v="53"/>
    <n v="19"/>
    <n v="10"/>
    <n v="25"/>
    <n v="0"/>
    <n v="0"/>
    <n v="169"/>
  </r>
  <r>
    <x v="0"/>
    <x v="361"/>
    <x v="0"/>
    <n v="0"/>
    <n v="1"/>
    <n v="0"/>
    <n v="0"/>
    <n v="0"/>
    <n v="0"/>
    <n v="0"/>
    <n v="0"/>
    <n v="0"/>
    <n v="1"/>
  </r>
  <r>
    <x v="0"/>
    <x v="362"/>
    <x v="0"/>
    <n v="0"/>
    <n v="0"/>
    <n v="277"/>
    <n v="262"/>
    <n v="292"/>
    <n v="518"/>
    <n v="1054"/>
    <n v="1494"/>
    <n v="939"/>
    <n v="4836"/>
  </r>
  <r>
    <x v="1"/>
    <x v="363"/>
    <x v="0"/>
    <n v="0"/>
    <n v="0"/>
    <n v="0"/>
    <n v="1"/>
    <n v="94"/>
    <n v="1409"/>
    <n v="5343"/>
    <n v="3040"/>
    <n v="952"/>
    <n v="10839"/>
  </r>
  <r>
    <x v="0"/>
    <x v="364"/>
    <x v="0"/>
    <n v="0"/>
    <n v="0"/>
    <n v="0"/>
    <n v="51"/>
    <n v="0"/>
    <n v="21"/>
    <n v="65"/>
    <n v="136"/>
    <n v="11"/>
    <n v="284"/>
  </r>
  <r>
    <x v="0"/>
    <x v="365"/>
    <x v="0"/>
    <n v="0"/>
    <n v="0"/>
    <n v="241"/>
    <n v="1628"/>
    <n v="1476"/>
    <n v="1546"/>
    <n v="2154"/>
    <n v="3411"/>
    <n v="2043"/>
    <n v="12499"/>
  </r>
  <r>
    <x v="2"/>
    <x v="366"/>
    <x v="0"/>
    <n v="2"/>
    <n v="0"/>
    <n v="0"/>
    <n v="0"/>
    <n v="0"/>
    <n v="0"/>
    <n v="0"/>
    <n v="0"/>
    <n v="0"/>
    <n v="2"/>
  </r>
  <r>
    <x v="0"/>
    <x v="367"/>
    <x v="0"/>
    <n v="0"/>
    <n v="1"/>
    <n v="0"/>
    <n v="0"/>
    <n v="0"/>
    <n v="0"/>
    <n v="0"/>
    <n v="0"/>
    <n v="0"/>
    <n v="1"/>
  </r>
  <r>
    <x v="1"/>
    <x v="368"/>
    <x v="0"/>
    <n v="0"/>
    <n v="0"/>
    <n v="0"/>
    <n v="0"/>
    <n v="0"/>
    <n v="0"/>
    <n v="410"/>
    <n v="24045"/>
    <n v="18424"/>
    <n v="42879"/>
  </r>
  <r>
    <x v="0"/>
    <x v="369"/>
    <x v="0"/>
    <n v="0"/>
    <n v="9"/>
    <n v="0"/>
    <n v="0"/>
    <n v="0"/>
    <n v="0"/>
    <n v="0"/>
    <n v="0"/>
    <n v="0"/>
    <n v="9"/>
  </r>
  <r>
    <x v="0"/>
    <x v="370"/>
    <x v="0"/>
    <n v="0"/>
    <n v="0"/>
    <n v="0"/>
    <n v="0"/>
    <n v="0"/>
    <n v="0"/>
    <n v="69"/>
    <n v="42"/>
    <n v="172"/>
    <n v="283"/>
  </r>
  <r>
    <x v="0"/>
    <x v="371"/>
    <x v="2"/>
    <n v="627"/>
    <n v="650"/>
    <n v="246"/>
    <n v="182"/>
    <n v="25"/>
    <n v="3"/>
    <n v="175"/>
    <n v="442"/>
    <n v="169"/>
    <n v="2520"/>
  </r>
  <r>
    <x v="0"/>
    <x v="372"/>
    <x v="0"/>
    <n v="78"/>
    <n v="175"/>
    <n v="10"/>
    <n v="4"/>
    <n v="6"/>
    <n v="3"/>
    <n v="1"/>
    <n v="0"/>
    <n v="0"/>
    <n v="277"/>
  </r>
  <r>
    <x v="0"/>
    <x v="373"/>
    <x v="0"/>
    <n v="37"/>
    <n v="146"/>
    <n v="140"/>
    <n v="146"/>
    <n v="27"/>
    <n v="14"/>
    <n v="5"/>
    <n v="0"/>
    <n v="0"/>
    <n v="515"/>
  </r>
  <r>
    <x v="0"/>
    <x v="374"/>
    <x v="0"/>
    <n v="0"/>
    <n v="0"/>
    <n v="0"/>
    <n v="18"/>
    <n v="14"/>
    <n v="39"/>
    <n v="36"/>
    <n v="28"/>
    <n v="27"/>
    <n v="162"/>
  </r>
  <r>
    <x v="0"/>
    <x v="375"/>
    <x v="0"/>
    <n v="0"/>
    <n v="0"/>
    <n v="8"/>
    <n v="0"/>
    <n v="0"/>
    <n v="24"/>
    <n v="15"/>
    <n v="345"/>
    <n v="176"/>
    <n v="568"/>
  </r>
  <r>
    <x v="2"/>
    <x v="375"/>
    <x v="0"/>
    <n v="0"/>
    <n v="0"/>
    <n v="1"/>
    <n v="0"/>
    <n v="0"/>
    <n v="0"/>
    <n v="0"/>
    <n v="0"/>
    <n v="0"/>
    <n v="1"/>
  </r>
  <r>
    <x v="0"/>
    <x v="376"/>
    <x v="0"/>
    <n v="0"/>
    <n v="0"/>
    <n v="0"/>
    <n v="0"/>
    <n v="0"/>
    <n v="0"/>
    <n v="0"/>
    <n v="46"/>
    <n v="22"/>
    <n v="68"/>
  </r>
  <r>
    <x v="0"/>
    <x v="377"/>
    <x v="0"/>
    <n v="0"/>
    <n v="178"/>
    <n v="570"/>
    <n v="543"/>
    <n v="100"/>
    <n v="129"/>
    <n v="43"/>
    <n v="221"/>
    <n v="198"/>
    <n v="1982"/>
  </r>
  <r>
    <x v="0"/>
    <x v="378"/>
    <x v="0"/>
    <n v="0"/>
    <n v="47"/>
    <n v="220"/>
    <n v="89"/>
    <n v="38"/>
    <n v="13"/>
    <n v="14"/>
    <n v="11"/>
    <n v="4"/>
    <n v="436"/>
  </r>
  <r>
    <x v="2"/>
    <x v="378"/>
    <x v="0"/>
    <n v="0"/>
    <n v="0"/>
    <n v="1"/>
    <n v="0"/>
    <n v="0"/>
    <n v="0"/>
    <n v="0"/>
    <n v="0"/>
    <n v="0"/>
    <n v="1"/>
  </r>
  <r>
    <x v="0"/>
    <x v="379"/>
    <x v="0"/>
    <n v="0"/>
    <n v="1"/>
    <n v="0"/>
    <n v="0"/>
    <n v="1"/>
    <n v="1"/>
    <n v="0"/>
    <n v="3"/>
    <n v="1"/>
    <n v="7"/>
  </r>
  <r>
    <x v="0"/>
    <x v="380"/>
    <x v="0"/>
    <n v="0"/>
    <n v="31"/>
    <n v="131"/>
    <n v="15"/>
    <n v="3"/>
    <n v="0"/>
    <n v="0"/>
    <n v="0"/>
    <n v="0"/>
    <n v="180"/>
  </r>
  <r>
    <x v="0"/>
    <x v="381"/>
    <x v="0"/>
    <n v="0"/>
    <n v="0"/>
    <n v="10"/>
    <n v="2"/>
    <n v="0"/>
    <n v="0"/>
    <n v="0"/>
    <n v="0"/>
    <n v="0"/>
    <n v="12"/>
  </r>
  <r>
    <x v="0"/>
    <x v="382"/>
    <x v="0"/>
    <n v="0"/>
    <n v="1"/>
    <n v="0"/>
    <n v="0"/>
    <n v="0"/>
    <n v="0"/>
    <n v="0"/>
    <n v="116"/>
    <n v="0"/>
    <n v="117"/>
  </r>
  <r>
    <x v="0"/>
    <x v="383"/>
    <x v="0"/>
    <n v="0"/>
    <n v="0"/>
    <n v="0"/>
    <n v="0"/>
    <n v="0"/>
    <n v="0"/>
    <n v="0"/>
    <n v="4"/>
    <n v="168"/>
    <n v="172"/>
  </r>
  <r>
    <x v="0"/>
    <x v="384"/>
    <x v="0"/>
    <n v="0"/>
    <n v="0"/>
    <n v="8"/>
    <n v="19"/>
    <n v="36"/>
    <n v="6"/>
    <n v="6"/>
    <n v="1"/>
    <n v="7"/>
    <n v="83"/>
  </r>
  <r>
    <x v="0"/>
    <x v="385"/>
    <x v="0"/>
    <n v="61"/>
    <n v="170"/>
    <n v="98"/>
    <n v="201"/>
    <n v="129"/>
    <n v="505"/>
    <n v="905"/>
    <n v="872"/>
    <n v="424"/>
    <n v="3365"/>
  </r>
  <r>
    <x v="0"/>
    <x v="386"/>
    <x v="0"/>
    <n v="0"/>
    <n v="0"/>
    <n v="0"/>
    <n v="4"/>
    <n v="29"/>
    <n v="4"/>
    <n v="0"/>
    <n v="0"/>
    <n v="0"/>
    <n v="37"/>
  </r>
  <r>
    <x v="0"/>
    <x v="387"/>
    <x v="0"/>
    <n v="0"/>
    <n v="0"/>
    <n v="0"/>
    <n v="0"/>
    <n v="0"/>
    <n v="0"/>
    <n v="0"/>
    <n v="3"/>
    <n v="2"/>
    <n v="5"/>
  </r>
  <r>
    <x v="1"/>
    <x v="388"/>
    <x v="0"/>
    <n v="0"/>
    <n v="0"/>
    <n v="0"/>
    <n v="0"/>
    <n v="0"/>
    <n v="0"/>
    <n v="0"/>
    <n v="0"/>
    <n v="4"/>
    <n v="4"/>
  </r>
  <r>
    <x v="0"/>
    <x v="389"/>
    <x v="0"/>
    <n v="1"/>
    <n v="0"/>
    <n v="0"/>
    <n v="0"/>
    <n v="0"/>
    <n v="0"/>
    <n v="0"/>
    <n v="0"/>
    <n v="0"/>
    <n v="1"/>
  </r>
  <r>
    <x v="0"/>
    <x v="390"/>
    <x v="0"/>
    <n v="1"/>
    <n v="8"/>
    <n v="1"/>
    <n v="0"/>
    <n v="0"/>
    <n v="0"/>
    <n v="0"/>
    <n v="0"/>
    <n v="0"/>
    <n v="10"/>
  </r>
  <r>
    <x v="0"/>
    <x v="391"/>
    <x v="0"/>
    <n v="1"/>
    <n v="8"/>
    <n v="2"/>
    <n v="0"/>
    <n v="0"/>
    <n v="0"/>
    <n v="0"/>
    <n v="0"/>
    <n v="0"/>
    <n v="11"/>
  </r>
  <r>
    <x v="0"/>
    <x v="392"/>
    <x v="0"/>
    <n v="0"/>
    <n v="0"/>
    <n v="0"/>
    <n v="0"/>
    <n v="21"/>
    <n v="118"/>
    <n v="117"/>
    <n v="64"/>
    <n v="0"/>
    <n v="320"/>
  </r>
  <r>
    <x v="0"/>
    <x v="393"/>
    <x v="0"/>
    <n v="0"/>
    <n v="127"/>
    <n v="251"/>
    <n v="383"/>
    <n v="79"/>
    <n v="53"/>
    <n v="57"/>
    <n v="37"/>
    <n v="1"/>
    <n v="988"/>
  </r>
  <r>
    <x v="0"/>
    <x v="394"/>
    <x v="0"/>
    <n v="0"/>
    <n v="16"/>
    <n v="0"/>
    <n v="0"/>
    <n v="0"/>
    <n v="0"/>
    <n v="0"/>
    <n v="0"/>
    <n v="0"/>
    <n v="16"/>
  </r>
  <r>
    <x v="0"/>
    <x v="395"/>
    <x v="0"/>
    <n v="0"/>
    <n v="1"/>
    <n v="0"/>
    <n v="0"/>
    <n v="0"/>
    <n v="0"/>
    <n v="0"/>
    <n v="0"/>
    <n v="0"/>
    <n v="1"/>
  </r>
  <r>
    <x v="0"/>
    <x v="396"/>
    <x v="0"/>
    <n v="0"/>
    <n v="0"/>
    <n v="1"/>
    <n v="9"/>
    <n v="0"/>
    <n v="0"/>
    <n v="0"/>
    <n v="0"/>
    <n v="0"/>
    <n v="10"/>
  </r>
  <r>
    <x v="1"/>
    <x v="397"/>
    <x v="0"/>
    <n v="3"/>
    <n v="2"/>
    <n v="0"/>
    <n v="0"/>
    <n v="0"/>
    <n v="0"/>
    <n v="0"/>
    <n v="0"/>
    <n v="0"/>
    <n v="5"/>
  </r>
  <r>
    <x v="0"/>
    <x v="398"/>
    <x v="0"/>
    <n v="0"/>
    <n v="0"/>
    <n v="77"/>
    <n v="105"/>
    <n v="3"/>
    <n v="2"/>
    <n v="12"/>
    <n v="11"/>
    <n v="0"/>
    <n v="210"/>
  </r>
  <r>
    <x v="0"/>
    <x v="399"/>
    <x v="0"/>
    <n v="0"/>
    <n v="0"/>
    <n v="0"/>
    <n v="0"/>
    <n v="0"/>
    <n v="0"/>
    <n v="0"/>
    <n v="0"/>
    <n v="60"/>
    <n v="60"/>
  </r>
  <r>
    <x v="1"/>
    <x v="400"/>
    <x v="0"/>
    <n v="1"/>
    <n v="0"/>
    <n v="0"/>
    <n v="0"/>
    <n v="0"/>
    <n v="0"/>
    <n v="0"/>
    <n v="0"/>
    <n v="0"/>
    <n v="1"/>
  </r>
  <r>
    <x v="0"/>
    <x v="401"/>
    <x v="0"/>
    <n v="0"/>
    <n v="0"/>
    <n v="0"/>
    <n v="0"/>
    <n v="0"/>
    <n v="0"/>
    <n v="0"/>
    <n v="8"/>
    <n v="68"/>
    <n v="76"/>
  </r>
  <r>
    <x v="0"/>
    <x v="402"/>
    <x v="0"/>
    <n v="0"/>
    <n v="1"/>
    <n v="0"/>
    <n v="0"/>
    <n v="0"/>
    <n v="0"/>
    <n v="0"/>
    <n v="0"/>
    <n v="0"/>
    <n v="1"/>
  </r>
  <r>
    <x v="0"/>
    <x v="403"/>
    <x v="0"/>
    <n v="0"/>
    <n v="67"/>
    <n v="297"/>
    <n v="231"/>
    <n v="73"/>
    <n v="75"/>
    <n v="45"/>
    <n v="34"/>
    <n v="36"/>
    <n v="858"/>
  </r>
  <r>
    <x v="0"/>
    <x v="404"/>
    <x v="0"/>
    <n v="0"/>
    <n v="0"/>
    <n v="0"/>
    <n v="0"/>
    <n v="0"/>
    <n v="0"/>
    <n v="0"/>
    <n v="2"/>
    <n v="4"/>
    <n v="6"/>
  </r>
  <r>
    <x v="1"/>
    <x v="405"/>
    <x v="0"/>
    <n v="0"/>
    <n v="0"/>
    <n v="0"/>
    <n v="0"/>
    <n v="0"/>
    <n v="0"/>
    <n v="0"/>
    <n v="4"/>
    <n v="0"/>
    <n v="4"/>
  </r>
  <r>
    <x v="0"/>
    <x v="406"/>
    <x v="0"/>
    <n v="0"/>
    <n v="0"/>
    <n v="0"/>
    <n v="0"/>
    <n v="0"/>
    <n v="0"/>
    <n v="0"/>
    <n v="8"/>
    <n v="16"/>
    <n v="24"/>
  </r>
  <r>
    <x v="0"/>
    <x v="407"/>
    <x v="0"/>
    <n v="0"/>
    <n v="4"/>
    <n v="0"/>
    <n v="0"/>
    <n v="0"/>
    <n v="0"/>
    <n v="0"/>
    <n v="0"/>
    <n v="0"/>
    <n v="4"/>
  </r>
  <r>
    <x v="0"/>
    <x v="408"/>
    <x v="0"/>
    <n v="0"/>
    <n v="145"/>
    <n v="16"/>
    <n v="0"/>
    <n v="0"/>
    <n v="0"/>
    <n v="0"/>
    <n v="0"/>
    <n v="0"/>
    <n v="161"/>
  </r>
  <r>
    <x v="1"/>
    <x v="409"/>
    <x v="16"/>
    <n v="22"/>
    <n v="17"/>
    <n v="17"/>
    <n v="8"/>
    <n v="0"/>
    <n v="0"/>
    <n v="0"/>
    <n v="0"/>
    <n v="0"/>
    <n v="97"/>
  </r>
  <r>
    <x v="0"/>
    <x v="409"/>
    <x v="0"/>
    <n v="10"/>
    <n v="1"/>
    <n v="0"/>
    <n v="0"/>
    <n v="0"/>
    <n v="0"/>
    <n v="0"/>
    <n v="0"/>
    <n v="0"/>
    <n v="11"/>
  </r>
  <r>
    <x v="1"/>
    <x v="410"/>
    <x v="17"/>
    <n v="246"/>
    <n v="164"/>
    <n v="616"/>
    <n v="664"/>
    <n v="593"/>
    <n v="3058"/>
    <n v="2538"/>
    <n v="0"/>
    <n v="0"/>
    <n v="8133"/>
  </r>
  <r>
    <x v="0"/>
    <x v="410"/>
    <x v="18"/>
    <n v="94"/>
    <n v="42"/>
    <n v="5"/>
    <n v="0"/>
    <n v="0"/>
    <n v="0"/>
    <n v="0"/>
    <n v="0"/>
    <n v="0"/>
    <n v="204"/>
  </r>
  <r>
    <x v="2"/>
    <x v="410"/>
    <x v="0"/>
    <n v="0"/>
    <n v="1"/>
    <n v="0"/>
    <n v="0"/>
    <n v="0"/>
    <n v="0"/>
    <n v="0"/>
    <n v="0"/>
    <n v="0"/>
    <n v="1"/>
  </r>
  <r>
    <x v="1"/>
    <x v="411"/>
    <x v="2"/>
    <n v="34"/>
    <n v="162"/>
    <n v="5785"/>
    <n v="11155"/>
    <n v="8247"/>
    <n v="46260"/>
    <n v="97828"/>
    <n v="29964"/>
    <n v="2211"/>
    <n v="201647"/>
  </r>
  <r>
    <x v="0"/>
    <x v="411"/>
    <x v="0"/>
    <n v="0"/>
    <n v="72"/>
    <n v="47"/>
    <n v="15"/>
    <n v="0"/>
    <n v="3"/>
    <n v="1"/>
    <n v="0"/>
    <n v="0"/>
    <n v="138"/>
  </r>
  <r>
    <x v="1"/>
    <x v="412"/>
    <x v="19"/>
    <n v="54"/>
    <n v="4"/>
    <n v="1"/>
    <n v="1"/>
    <n v="0"/>
    <n v="0"/>
    <n v="0"/>
    <n v="0"/>
    <n v="0"/>
    <n v="79"/>
  </r>
  <r>
    <x v="1"/>
    <x v="413"/>
    <x v="20"/>
    <n v="157"/>
    <n v="74"/>
    <n v="39"/>
    <n v="33"/>
    <n v="0"/>
    <n v="0"/>
    <n v="182"/>
    <n v="11142"/>
    <n v="19479"/>
    <n v="31198"/>
  </r>
  <r>
    <x v="0"/>
    <x v="413"/>
    <x v="0"/>
    <n v="0"/>
    <n v="229"/>
    <n v="62"/>
    <n v="0"/>
    <n v="0"/>
    <n v="0"/>
    <n v="0"/>
    <n v="0"/>
    <n v="0"/>
    <n v="291"/>
  </r>
  <r>
    <x v="2"/>
    <x v="414"/>
    <x v="0"/>
    <n v="1"/>
    <n v="0"/>
    <n v="0"/>
    <n v="0"/>
    <n v="0"/>
    <n v="0"/>
    <n v="0"/>
    <n v="0"/>
    <n v="0"/>
    <n v="1"/>
  </r>
  <r>
    <x v="0"/>
    <x v="415"/>
    <x v="0"/>
    <n v="0"/>
    <n v="19"/>
    <n v="46"/>
    <n v="85"/>
    <n v="50"/>
    <n v="151"/>
    <n v="449"/>
    <n v="624"/>
    <n v="321"/>
    <n v="1745"/>
  </r>
  <r>
    <x v="0"/>
    <x v="416"/>
    <x v="0"/>
    <n v="0"/>
    <n v="0"/>
    <n v="1"/>
    <n v="0"/>
    <n v="0"/>
    <n v="0"/>
    <n v="0"/>
    <n v="0"/>
    <n v="0"/>
    <n v="1"/>
  </r>
  <r>
    <x v="0"/>
    <x v="417"/>
    <x v="0"/>
    <n v="0"/>
    <n v="0"/>
    <n v="48"/>
    <n v="192"/>
    <n v="177"/>
    <n v="528"/>
    <n v="1162"/>
    <n v="1367"/>
    <n v="580"/>
    <n v="4054"/>
  </r>
  <r>
    <x v="2"/>
    <x v="417"/>
    <x v="0"/>
    <n v="0"/>
    <n v="0"/>
    <n v="0"/>
    <n v="1"/>
    <n v="0"/>
    <n v="0"/>
    <n v="0"/>
    <n v="0"/>
    <n v="0"/>
    <n v="1"/>
  </r>
  <r>
    <x v="1"/>
    <x v="418"/>
    <x v="0"/>
    <n v="1"/>
    <n v="0"/>
    <n v="0"/>
    <n v="0"/>
    <n v="0"/>
    <n v="0"/>
    <n v="0"/>
    <n v="0"/>
    <n v="0"/>
    <n v="1"/>
  </r>
  <r>
    <x v="2"/>
    <x v="418"/>
    <x v="0"/>
    <n v="0"/>
    <n v="0"/>
    <n v="1"/>
    <n v="0"/>
    <n v="0"/>
    <n v="0"/>
    <n v="0"/>
    <n v="0"/>
    <n v="0"/>
    <n v="1"/>
  </r>
  <r>
    <x v="0"/>
    <x v="419"/>
    <x v="0"/>
    <n v="0"/>
    <n v="0"/>
    <n v="6"/>
    <n v="1"/>
    <n v="20"/>
    <n v="28"/>
    <n v="2"/>
    <n v="12"/>
    <n v="4"/>
    <n v="73"/>
  </r>
  <r>
    <x v="0"/>
    <x v="420"/>
    <x v="0"/>
    <n v="27"/>
    <n v="14"/>
    <n v="0"/>
    <n v="0"/>
    <n v="0"/>
    <n v="0"/>
    <n v="2"/>
    <n v="0"/>
    <n v="0"/>
    <n v="43"/>
  </r>
  <r>
    <x v="0"/>
    <x v="421"/>
    <x v="0"/>
    <n v="37"/>
    <n v="62"/>
    <n v="3"/>
    <n v="0"/>
    <n v="0"/>
    <n v="0"/>
    <n v="0"/>
    <n v="0"/>
    <n v="0"/>
    <n v="102"/>
  </r>
  <r>
    <x v="0"/>
    <x v="422"/>
    <x v="0"/>
    <n v="0"/>
    <n v="253"/>
    <n v="257"/>
    <n v="131"/>
    <n v="37"/>
    <n v="441"/>
    <n v="297"/>
    <n v="122"/>
    <n v="21"/>
    <n v="1559"/>
  </r>
  <r>
    <x v="0"/>
    <x v="423"/>
    <x v="0"/>
    <n v="0"/>
    <n v="87"/>
    <n v="155"/>
    <n v="108"/>
    <n v="7"/>
    <n v="2"/>
    <n v="5"/>
    <n v="0"/>
    <n v="0"/>
    <n v="364"/>
  </r>
  <r>
    <x v="0"/>
    <x v="424"/>
    <x v="0"/>
    <n v="0"/>
    <n v="2"/>
    <n v="0"/>
    <n v="0"/>
    <n v="0"/>
    <n v="0"/>
    <n v="0"/>
    <n v="0"/>
    <n v="0"/>
    <n v="2"/>
  </r>
  <r>
    <x v="0"/>
    <x v="425"/>
    <x v="0"/>
    <n v="0"/>
    <n v="1"/>
    <n v="0"/>
    <n v="0"/>
    <n v="0"/>
    <n v="0"/>
    <n v="0"/>
    <n v="0"/>
    <n v="0"/>
    <n v="1"/>
  </r>
  <r>
    <x v="1"/>
    <x v="426"/>
    <x v="0"/>
    <n v="0"/>
    <n v="0"/>
    <n v="0"/>
    <n v="0"/>
    <n v="0"/>
    <n v="0"/>
    <n v="0"/>
    <n v="6"/>
    <n v="4"/>
    <n v="10"/>
  </r>
  <r>
    <x v="1"/>
    <x v="427"/>
    <x v="21"/>
    <n v="81"/>
    <n v="120"/>
    <n v="4"/>
    <n v="0"/>
    <n v="0"/>
    <n v="0"/>
    <n v="0"/>
    <n v="0"/>
    <n v="0"/>
    <n v="339"/>
  </r>
  <r>
    <x v="2"/>
    <x v="427"/>
    <x v="8"/>
    <n v="1"/>
    <n v="0"/>
    <n v="1"/>
    <n v="0"/>
    <n v="0"/>
    <n v="0"/>
    <n v="0"/>
    <n v="0"/>
    <n v="0"/>
    <n v="4"/>
  </r>
  <r>
    <x v="1"/>
    <x v="428"/>
    <x v="22"/>
    <n v="195"/>
    <n v="36"/>
    <n v="19"/>
    <n v="4"/>
    <n v="0"/>
    <n v="0"/>
    <n v="30"/>
    <n v="0"/>
    <n v="0"/>
    <n v="403"/>
  </r>
  <r>
    <x v="2"/>
    <x v="428"/>
    <x v="0"/>
    <n v="2"/>
    <n v="0"/>
    <n v="0"/>
    <n v="0"/>
    <n v="0"/>
    <n v="0"/>
    <n v="0"/>
    <n v="0"/>
    <n v="0"/>
    <n v="2"/>
  </r>
  <r>
    <x v="1"/>
    <x v="429"/>
    <x v="0"/>
    <n v="0"/>
    <n v="0"/>
    <n v="0"/>
    <n v="0"/>
    <n v="0"/>
    <n v="0"/>
    <n v="14"/>
    <n v="84"/>
    <n v="163"/>
    <n v="261"/>
  </r>
  <r>
    <x v="1"/>
    <x v="430"/>
    <x v="0"/>
    <n v="0"/>
    <n v="0"/>
    <n v="0"/>
    <n v="0"/>
    <n v="0"/>
    <n v="0"/>
    <n v="0"/>
    <n v="18"/>
    <n v="3"/>
    <n v="21"/>
  </r>
  <r>
    <x v="1"/>
    <x v="431"/>
    <x v="0"/>
    <n v="0"/>
    <n v="1"/>
    <n v="0"/>
    <n v="0"/>
    <n v="0"/>
    <n v="0"/>
    <n v="0"/>
    <n v="0"/>
    <n v="0"/>
    <n v="1"/>
  </r>
  <r>
    <x v="0"/>
    <x v="431"/>
    <x v="0"/>
    <n v="0"/>
    <n v="918"/>
    <n v="1216"/>
    <n v="1855"/>
    <n v="689"/>
    <n v="1091"/>
    <n v="2599"/>
    <n v="3741"/>
    <n v="2783"/>
    <n v="14892"/>
  </r>
  <r>
    <x v="1"/>
    <x v="432"/>
    <x v="0"/>
    <n v="0"/>
    <n v="0"/>
    <n v="0"/>
    <n v="0"/>
    <n v="0"/>
    <n v="0"/>
    <n v="2"/>
    <n v="209"/>
    <n v="163"/>
    <n v="374"/>
  </r>
  <r>
    <x v="0"/>
    <x v="433"/>
    <x v="0"/>
    <n v="0"/>
    <n v="0"/>
    <n v="0"/>
    <n v="20"/>
    <n v="15"/>
    <n v="69"/>
    <n v="217"/>
    <n v="785"/>
    <n v="340"/>
    <n v="1446"/>
  </r>
  <r>
    <x v="0"/>
    <x v="434"/>
    <x v="0"/>
    <n v="5"/>
    <n v="688"/>
    <n v="1168"/>
    <n v="856"/>
    <n v="470"/>
    <n v="1046"/>
    <n v="4397"/>
    <n v="12840"/>
    <n v="7423"/>
    <n v="28893"/>
  </r>
  <r>
    <x v="1"/>
    <x v="435"/>
    <x v="0"/>
    <n v="0"/>
    <n v="0"/>
    <n v="0"/>
    <n v="0"/>
    <n v="0"/>
    <n v="0"/>
    <n v="33"/>
    <n v="32"/>
    <n v="5"/>
    <n v="70"/>
  </r>
  <r>
    <x v="2"/>
    <x v="435"/>
    <x v="0"/>
    <n v="0"/>
    <n v="0"/>
    <n v="0"/>
    <n v="0"/>
    <n v="0"/>
    <n v="0"/>
    <n v="2"/>
    <n v="0"/>
    <n v="0"/>
    <n v="2"/>
  </r>
  <r>
    <x v="0"/>
    <x v="436"/>
    <x v="0"/>
    <n v="152"/>
    <n v="456"/>
    <n v="676"/>
    <n v="238"/>
    <n v="30"/>
    <n v="13"/>
    <n v="21"/>
    <n v="62"/>
    <n v="48"/>
    <n v="1696"/>
  </r>
  <r>
    <x v="1"/>
    <x v="437"/>
    <x v="0"/>
    <n v="0"/>
    <n v="0"/>
    <n v="0"/>
    <n v="0"/>
    <n v="0"/>
    <n v="0"/>
    <n v="0"/>
    <n v="2"/>
    <n v="1"/>
    <n v="3"/>
  </r>
  <r>
    <x v="0"/>
    <x v="438"/>
    <x v="0"/>
    <n v="0"/>
    <n v="0"/>
    <n v="0"/>
    <n v="0"/>
    <n v="0"/>
    <n v="0"/>
    <n v="0"/>
    <n v="125"/>
    <n v="255"/>
    <n v="380"/>
  </r>
  <r>
    <x v="0"/>
    <x v="439"/>
    <x v="0"/>
    <n v="0"/>
    <n v="0"/>
    <n v="256"/>
    <n v="616"/>
    <n v="292"/>
    <n v="399"/>
    <n v="848"/>
    <n v="1011"/>
    <n v="562"/>
    <n v="3984"/>
  </r>
  <r>
    <x v="0"/>
    <x v="440"/>
    <x v="0"/>
    <n v="0"/>
    <n v="0"/>
    <n v="0"/>
    <n v="0"/>
    <n v="0"/>
    <n v="159"/>
    <n v="306"/>
    <n v="91"/>
    <n v="17"/>
    <n v="573"/>
  </r>
  <r>
    <x v="0"/>
    <x v="441"/>
    <x v="0"/>
    <n v="1"/>
    <n v="0"/>
    <n v="0"/>
    <n v="0"/>
    <n v="0"/>
    <n v="0"/>
    <n v="0"/>
    <n v="0"/>
    <n v="0"/>
    <n v="1"/>
  </r>
  <r>
    <x v="2"/>
    <x v="441"/>
    <x v="0"/>
    <n v="5"/>
    <n v="2"/>
    <n v="1"/>
    <n v="233"/>
    <n v="206"/>
    <n v="165"/>
    <n v="619"/>
    <n v="1606"/>
    <n v="757"/>
    <n v="3594"/>
  </r>
  <r>
    <x v="2"/>
    <x v="442"/>
    <x v="0"/>
    <n v="0"/>
    <n v="0"/>
    <n v="0"/>
    <n v="0"/>
    <n v="0"/>
    <n v="0"/>
    <n v="5"/>
    <n v="0"/>
    <n v="1"/>
    <n v="6"/>
  </r>
  <r>
    <x v="0"/>
    <x v="443"/>
    <x v="0"/>
    <n v="0"/>
    <n v="1"/>
    <n v="0"/>
    <n v="0"/>
    <n v="0"/>
    <n v="0"/>
    <n v="0"/>
    <n v="0"/>
    <n v="0"/>
    <n v="1"/>
  </r>
  <r>
    <x v="0"/>
    <x v="444"/>
    <x v="0"/>
    <n v="0"/>
    <n v="0"/>
    <n v="0"/>
    <n v="0"/>
    <n v="0"/>
    <n v="0"/>
    <n v="16"/>
    <n v="276"/>
    <n v="241"/>
    <n v="533"/>
  </r>
  <r>
    <x v="1"/>
    <x v="445"/>
    <x v="23"/>
    <n v="31"/>
    <n v="14"/>
    <n v="2"/>
    <n v="0"/>
    <n v="0"/>
    <n v="0"/>
    <n v="0"/>
    <n v="0"/>
    <n v="0"/>
    <n v="73"/>
  </r>
  <r>
    <x v="0"/>
    <x v="445"/>
    <x v="0"/>
    <n v="0"/>
    <n v="36"/>
    <n v="7"/>
    <n v="0"/>
    <n v="0"/>
    <n v="0"/>
    <n v="0"/>
    <n v="0"/>
    <n v="0"/>
    <n v="43"/>
  </r>
  <r>
    <x v="0"/>
    <x v="446"/>
    <x v="0"/>
    <n v="0"/>
    <n v="0"/>
    <n v="5"/>
    <n v="52"/>
    <n v="106"/>
    <n v="350"/>
    <n v="1114"/>
    <n v="2035"/>
    <n v="1399"/>
    <n v="5061"/>
  </r>
  <r>
    <x v="0"/>
    <x v="447"/>
    <x v="0"/>
    <n v="0"/>
    <n v="1"/>
    <n v="0"/>
    <n v="0"/>
    <n v="0"/>
    <n v="0"/>
    <n v="0"/>
    <n v="0"/>
    <n v="0"/>
    <n v="1"/>
  </r>
  <r>
    <x v="1"/>
    <x v="448"/>
    <x v="24"/>
    <n v="3"/>
    <n v="2"/>
    <n v="0"/>
    <n v="0"/>
    <n v="0"/>
    <n v="0"/>
    <n v="0"/>
    <n v="0"/>
    <n v="0"/>
    <n v="18"/>
  </r>
  <r>
    <x v="0"/>
    <x v="449"/>
    <x v="0"/>
    <n v="0"/>
    <n v="0"/>
    <n v="0"/>
    <n v="0"/>
    <n v="0"/>
    <n v="0"/>
    <n v="0"/>
    <n v="0"/>
    <n v="272"/>
    <n v="272"/>
  </r>
  <r>
    <x v="1"/>
    <x v="450"/>
    <x v="0"/>
    <n v="0"/>
    <n v="1"/>
    <n v="0"/>
    <n v="0"/>
    <n v="0"/>
    <n v="0"/>
    <n v="0"/>
    <n v="0"/>
    <n v="0"/>
    <n v="1"/>
  </r>
  <r>
    <x v="0"/>
    <x v="450"/>
    <x v="0"/>
    <n v="0"/>
    <n v="1"/>
    <n v="0"/>
    <n v="0"/>
    <n v="0"/>
    <n v="0"/>
    <n v="0"/>
    <n v="0"/>
    <n v="0"/>
    <n v="1"/>
  </r>
  <r>
    <x v="2"/>
    <x v="451"/>
    <x v="0"/>
    <n v="6"/>
    <n v="6"/>
    <n v="2"/>
    <n v="1"/>
    <n v="0"/>
    <n v="0"/>
    <n v="0"/>
    <n v="0"/>
    <n v="0"/>
    <n v="15"/>
  </r>
  <r>
    <x v="0"/>
    <x v="452"/>
    <x v="0"/>
    <n v="0"/>
    <n v="0"/>
    <n v="0"/>
    <n v="0"/>
    <n v="0"/>
    <n v="0"/>
    <n v="9"/>
    <n v="96"/>
    <n v="73"/>
    <n v="178"/>
  </r>
  <r>
    <x v="1"/>
    <x v="453"/>
    <x v="0"/>
    <n v="0"/>
    <n v="0"/>
    <n v="0"/>
    <n v="0"/>
    <n v="38"/>
    <n v="78"/>
    <n v="98"/>
    <n v="19"/>
    <n v="6"/>
    <n v="239"/>
  </r>
  <r>
    <x v="0"/>
    <x v="454"/>
    <x v="0"/>
    <n v="0"/>
    <n v="0"/>
    <n v="0"/>
    <n v="0"/>
    <n v="0"/>
    <n v="0"/>
    <n v="0"/>
    <n v="65"/>
    <n v="14"/>
    <n v="79"/>
  </r>
  <r>
    <x v="1"/>
    <x v="455"/>
    <x v="2"/>
    <n v="0"/>
    <n v="0"/>
    <n v="0"/>
    <n v="0"/>
    <n v="0"/>
    <n v="0"/>
    <n v="0"/>
    <n v="0"/>
    <n v="0"/>
    <n v="1"/>
  </r>
  <r>
    <x v="1"/>
    <x v="456"/>
    <x v="0"/>
    <n v="0"/>
    <n v="0"/>
    <n v="0"/>
    <n v="0"/>
    <n v="0"/>
    <n v="0"/>
    <n v="627"/>
    <n v="2154"/>
    <n v="668"/>
    <n v="3449"/>
  </r>
  <r>
    <x v="1"/>
    <x v="457"/>
    <x v="0"/>
    <n v="0"/>
    <n v="0"/>
    <n v="0"/>
    <n v="0"/>
    <n v="0"/>
    <n v="0"/>
    <n v="32"/>
    <n v="51"/>
    <n v="13"/>
    <n v="96"/>
  </r>
  <r>
    <x v="0"/>
    <x v="458"/>
    <x v="0"/>
    <n v="0"/>
    <n v="0"/>
    <n v="17"/>
    <n v="6"/>
    <n v="8"/>
    <n v="50"/>
    <n v="82"/>
    <n v="80"/>
    <n v="30"/>
    <n v="273"/>
  </r>
  <r>
    <x v="0"/>
    <x v="459"/>
    <x v="0"/>
    <n v="0"/>
    <n v="0"/>
    <n v="1"/>
    <n v="1"/>
    <n v="0"/>
    <n v="0"/>
    <n v="0"/>
    <n v="0"/>
    <n v="0"/>
    <n v="2"/>
  </r>
  <r>
    <x v="0"/>
    <x v="460"/>
    <x v="0"/>
    <n v="248"/>
    <n v="43"/>
    <n v="0"/>
    <n v="10"/>
    <n v="0"/>
    <n v="0"/>
    <n v="6"/>
    <n v="7"/>
    <n v="0"/>
    <n v="314"/>
  </r>
  <r>
    <x v="0"/>
    <x v="461"/>
    <x v="0"/>
    <n v="95"/>
    <n v="2652"/>
    <n v="2921"/>
    <n v="2314"/>
    <n v="1260"/>
    <n v="3075"/>
    <n v="6947"/>
    <n v="11165"/>
    <n v="6278"/>
    <n v="36707"/>
  </r>
  <r>
    <x v="0"/>
    <x v="462"/>
    <x v="0"/>
    <n v="0"/>
    <n v="2"/>
    <n v="3"/>
    <n v="1"/>
    <n v="0"/>
    <n v="0"/>
    <n v="0"/>
    <n v="0"/>
    <n v="0"/>
    <n v="6"/>
  </r>
  <r>
    <x v="0"/>
    <x v="463"/>
    <x v="0"/>
    <n v="0"/>
    <n v="0"/>
    <n v="69"/>
    <n v="74"/>
    <n v="53"/>
    <n v="67"/>
    <n v="20"/>
    <n v="113"/>
    <n v="24"/>
    <n v="420"/>
  </r>
  <r>
    <x v="0"/>
    <x v="464"/>
    <x v="0"/>
    <n v="0"/>
    <n v="43"/>
    <n v="6"/>
    <n v="0"/>
    <n v="0"/>
    <n v="0"/>
    <n v="0"/>
    <n v="0"/>
    <n v="0"/>
    <n v="49"/>
  </r>
  <r>
    <x v="2"/>
    <x v="464"/>
    <x v="0"/>
    <n v="0"/>
    <n v="0"/>
    <n v="0"/>
    <n v="0"/>
    <n v="0"/>
    <n v="27"/>
    <n v="40"/>
    <n v="9"/>
    <n v="4"/>
    <n v="80"/>
  </r>
  <r>
    <x v="2"/>
    <x v="465"/>
    <x v="2"/>
    <n v="0"/>
    <n v="0"/>
    <n v="0"/>
    <n v="0"/>
    <n v="0"/>
    <n v="0"/>
    <n v="0"/>
    <n v="0"/>
    <n v="0"/>
    <n v="1"/>
  </r>
  <r>
    <x v="2"/>
    <x v="466"/>
    <x v="0"/>
    <n v="0"/>
    <n v="0"/>
    <n v="0"/>
    <n v="0"/>
    <n v="0"/>
    <n v="0"/>
    <n v="1"/>
    <n v="0"/>
    <n v="0"/>
    <n v="1"/>
  </r>
  <r>
    <x v="0"/>
    <x v="467"/>
    <x v="0"/>
    <n v="0"/>
    <n v="0"/>
    <n v="0"/>
    <n v="0"/>
    <n v="0"/>
    <n v="0"/>
    <n v="0"/>
    <n v="165"/>
    <n v="108"/>
    <n v="273"/>
  </r>
  <r>
    <x v="0"/>
    <x v="468"/>
    <x v="0"/>
    <n v="0"/>
    <n v="0"/>
    <n v="157"/>
    <n v="414"/>
    <n v="249"/>
    <n v="180"/>
    <n v="636"/>
    <n v="163"/>
    <n v="61"/>
    <n v="1860"/>
  </r>
  <r>
    <x v="2"/>
    <x v="468"/>
    <x v="0"/>
    <n v="0"/>
    <n v="0"/>
    <n v="0"/>
    <n v="0"/>
    <n v="0"/>
    <n v="0"/>
    <n v="1"/>
    <n v="0"/>
    <n v="0"/>
    <n v="1"/>
  </r>
  <r>
    <x v="0"/>
    <x v="469"/>
    <x v="0"/>
    <n v="0"/>
    <n v="0"/>
    <n v="39"/>
    <n v="80"/>
    <n v="28"/>
    <n v="33"/>
    <n v="64"/>
    <n v="143"/>
    <n v="58"/>
    <n v="445"/>
  </r>
  <r>
    <x v="2"/>
    <x v="469"/>
    <x v="0"/>
    <n v="0"/>
    <n v="0"/>
    <n v="0"/>
    <n v="0"/>
    <n v="0"/>
    <n v="0"/>
    <n v="0"/>
    <n v="0"/>
    <n v="1"/>
    <n v="1"/>
  </r>
  <r>
    <x v="0"/>
    <x v="470"/>
    <x v="0"/>
    <n v="0"/>
    <n v="0"/>
    <n v="0"/>
    <n v="0"/>
    <n v="0"/>
    <n v="176"/>
    <n v="224"/>
    <n v="600"/>
    <n v="287"/>
    <n v="1287"/>
  </r>
  <r>
    <x v="0"/>
    <x v="471"/>
    <x v="0"/>
    <n v="0"/>
    <n v="8"/>
    <n v="0"/>
    <n v="0"/>
    <n v="0"/>
    <n v="0"/>
    <n v="0"/>
    <n v="0"/>
    <n v="0"/>
    <n v="8"/>
  </r>
  <r>
    <x v="0"/>
    <x v="472"/>
    <x v="0"/>
    <n v="0"/>
    <n v="131"/>
    <n v="779"/>
    <n v="633"/>
    <n v="660"/>
    <n v="224"/>
    <n v="396"/>
    <n v="950"/>
    <n v="770"/>
    <n v="4543"/>
  </r>
  <r>
    <x v="0"/>
    <x v="473"/>
    <x v="0"/>
    <n v="0"/>
    <n v="0"/>
    <n v="0"/>
    <n v="0"/>
    <n v="0"/>
    <n v="0"/>
    <n v="0"/>
    <n v="38"/>
    <n v="2"/>
    <n v="40"/>
  </r>
  <r>
    <x v="2"/>
    <x v="474"/>
    <x v="2"/>
    <n v="0"/>
    <n v="0"/>
    <n v="0"/>
    <n v="0"/>
    <n v="0"/>
    <n v="0"/>
    <n v="0"/>
    <n v="0"/>
    <n v="0"/>
    <n v="1"/>
  </r>
  <r>
    <x v="0"/>
    <x v="475"/>
    <x v="0"/>
    <n v="36"/>
    <n v="88"/>
    <n v="26"/>
    <n v="2"/>
    <n v="1"/>
    <n v="0"/>
    <n v="0"/>
    <n v="0"/>
    <n v="0"/>
    <n v="153"/>
  </r>
  <r>
    <x v="2"/>
    <x v="476"/>
    <x v="0"/>
    <n v="1"/>
    <n v="0"/>
    <n v="0"/>
    <n v="0"/>
    <n v="0"/>
    <n v="0"/>
    <n v="0"/>
    <n v="0"/>
    <n v="0"/>
    <n v="1"/>
  </r>
  <r>
    <x v="0"/>
    <x v="477"/>
    <x v="0"/>
    <n v="3"/>
    <n v="23"/>
    <n v="0"/>
    <n v="0"/>
    <n v="0"/>
    <n v="0"/>
    <n v="0"/>
    <n v="0"/>
    <n v="0"/>
    <n v="26"/>
  </r>
  <r>
    <x v="2"/>
    <x v="478"/>
    <x v="2"/>
    <n v="0"/>
    <n v="0"/>
    <n v="0"/>
    <n v="0"/>
    <n v="0"/>
    <n v="0"/>
    <n v="0"/>
    <n v="0"/>
    <n v="0"/>
    <n v="1"/>
  </r>
  <r>
    <x v="0"/>
    <x v="479"/>
    <x v="0"/>
    <n v="0"/>
    <n v="0"/>
    <n v="0"/>
    <n v="0"/>
    <n v="0"/>
    <n v="0"/>
    <n v="0"/>
    <n v="0"/>
    <n v="5"/>
    <n v="5"/>
  </r>
  <r>
    <x v="0"/>
    <x v="480"/>
    <x v="0"/>
    <n v="0"/>
    <n v="0"/>
    <n v="55"/>
    <n v="248"/>
    <n v="95"/>
    <n v="42"/>
    <n v="23"/>
    <n v="6"/>
    <n v="0"/>
    <n v="469"/>
  </r>
  <r>
    <x v="2"/>
    <x v="481"/>
    <x v="0"/>
    <n v="0"/>
    <n v="0"/>
    <n v="0"/>
    <n v="19"/>
    <n v="42"/>
    <n v="49"/>
    <n v="0"/>
    <n v="0"/>
    <n v="0"/>
    <n v="110"/>
  </r>
  <r>
    <x v="0"/>
    <x v="482"/>
    <x v="0"/>
    <n v="0"/>
    <n v="0"/>
    <n v="0"/>
    <n v="0"/>
    <n v="0"/>
    <n v="0"/>
    <n v="0"/>
    <n v="0"/>
    <n v="5"/>
    <n v="5"/>
  </r>
  <r>
    <x v="0"/>
    <x v="483"/>
    <x v="0"/>
    <n v="0"/>
    <n v="37"/>
    <n v="9"/>
    <n v="0"/>
    <n v="0"/>
    <n v="0"/>
    <n v="0"/>
    <n v="0"/>
    <n v="0"/>
    <n v="46"/>
  </r>
  <r>
    <x v="2"/>
    <x v="484"/>
    <x v="0"/>
    <n v="0"/>
    <n v="1"/>
    <n v="0"/>
    <n v="0"/>
    <n v="0"/>
    <n v="0"/>
    <n v="0"/>
    <n v="0"/>
    <n v="0"/>
    <n v="1"/>
  </r>
  <r>
    <x v="1"/>
    <x v="485"/>
    <x v="0"/>
    <n v="0"/>
    <n v="0"/>
    <n v="0"/>
    <n v="0"/>
    <n v="0"/>
    <n v="0"/>
    <n v="0"/>
    <n v="0"/>
    <n v="1"/>
    <n v="1"/>
  </r>
  <r>
    <x v="0"/>
    <x v="486"/>
    <x v="0"/>
    <n v="0"/>
    <n v="0"/>
    <n v="3"/>
    <n v="0"/>
    <n v="0"/>
    <n v="0"/>
    <n v="0"/>
    <n v="0"/>
    <n v="0"/>
    <n v="3"/>
  </r>
  <r>
    <x v="0"/>
    <x v="487"/>
    <x v="0"/>
    <n v="0"/>
    <n v="0"/>
    <n v="174"/>
    <n v="362"/>
    <n v="43"/>
    <n v="84"/>
    <n v="155"/>
    <n v="208"/>
    <n v="101"/>
    <n v="1127"/>
  </r>
  <r>
    <x v="1"/>
    <x v="488"/>
    <x v="0"/>
    <n v="0"/>
    <n v="0"/>
    <n v="0"/>
    <n v="0"/>
    <n v="0"/>
    <n v="0"/>
    <n v="0"/>
    <n v="8"/>
    <n v="40"/>
    <n v="48"/>
  </r>
  <r>
    <x v="1"/>
    <x v="489"/>
    <x v="0"/>
    <n v="0"/>
    <n v="0"/>
    <n v="0"/>
    <n v="0"/>
    <n v="0"/>
    <n v="0"/>
    <n v="31"/>
    <n v="454"/>
    <n v="13"/>
    <n v="498"/>
  </r>
  <r>
    <x v="1"/>
    <x v="490"/>
    <x v="0"/>
    <n v="0"/>
    <n v="0"/>
    <n v="0"/>
    <n v="0"/>
    <n v="0"/>
    <n v="0"/>
    <n v="0"/>
    <n v="11"/>
    <n v="4"/>
    <n v="15"/>
  </r>
  <r>
    <x v="1"/>
    <x v="491"/>
    <x v="0"/>
    <n v="0"/>
    <n v="0"/>
    <n v="0"/>
    <n v="0"/>
    <n v="0"/>
    <n v="0"/>
    <n v="0"/>
    <n v="20"/>
    <n v="7"/>
    <n v="27"/>
  </r>
  <r>
    <x v="1"/>
    <x v="492"/>
    <x v="0"/>
    <n v="0"/>
    <n v="0"/>
    <n v="0"/>
    <n v="0"/>
    <n v="0"/>
    <n v="0"/>
    <n v="0"/>
    <n v="2"/>
    <n v="0"/>
    <n v="2"/>
  </r>
  <r>
    <x v="1"/>
    <x v="493"/>
    <x v="0"/>
    <n v="0"/>
    <n v="0"/>
    <n v="0"/>
    <n v="0"/>
    <n v="0"/>
    <n v="0"/>
    <n v="0"/>
    <n v="22"/>
    <n v="24"/>
    <n v="46"/>
  </r>
  <r>
    <x v="1"/>
    <x v="494"/>
    <x v="0"/>
    <n v="0"/>
    <n v="0"/>
    <n v="0"/>
    <n v="0"/>
    <n v="0"/>
    <n v="0"/>
    <n v="0"/>
    <n v="50"/>
    <n v="10"/>
    <n v="60"/>
  </r>
  <r>
    <x v="1"/>
    <x v="495"/>
    <x v="0"/>
    <n v="0"/>
    <n v="0"/>
    <n v="0"/>
    <n v="0"/>
    <n v="0"/>
    <n v="0"/>
    <n v="0"/>
    <n v="1"/>
    <n v="0"/>
    <n v="1"/>
  </r>
  <r>
    <x v="1"/>
    <x v="496"/>
    <x v="0"/>
    <n v="0"/>
    <n v="0"/>
    <n v="0"/>
    <n v="0"/>
    <n v="0"/>
    <n v="0"/>
    <n v="0"/>
    <n v="31"/>
    <n v="10"/>
    <n v="41"/>
  </r>
  <r>
    <x v="1"/>
    <x v="497"/>
    <x v="0"/>
    <n v="0"/>
    <n v="0"/>
    <n v="0"/>
    <n v="0"/>
    <n v="0"/>
    <n v="0"/>
    <n v="0"/>
    <n v="0"/>
    <n v="7"/>
    <n v="7"/>
  </r>
  <r>
    <x v="0"/>
    <x v="498"/>
    <x v="0"/>
    <n v="0"/>
    <n v="0"/>
    <n v="0"/>
    <n v="0"/>
    <n v="0"/>
    <n v="0"/>
    <n v="0"/>
    <n v="10"/>
    <n v="16"/>
    <n v="26"/>
  </r>
  <r>
    <x v="1"/>
    <x v="499"/>
    <x v="0"/>
    <n v="0"/>
    <n v="0"/>
    <n v="0"/>
    <n v="0"/>
    <n v="0"/>
    <n v="0"/>
    <n v="1"/>
    <n v="10"/>
    <n v="2"/>
    <n v="13"/>
  </r>
  <r>
    <x v="1"/>
    <x v="500"/>
    <x v="0"/>
    <n v="0"/>
    <n v="0"/>
    <n v="0"/>
    <n v="0"/>
    <n v="0"/>
    <n v="0"/>
    <n v="12"/>
    <n v="3"/>
    <n v="2"/>
    <n v="17"/>
  </r>
  <r>
    <x v="1"/>
    <x v="501"/>
    <x v="0"/>
    <n v="0"/>
    <n v="0"/>
    <n v="0"/>
    <n v="0"/>
    <n v="0"/>
    <n v="2"/>
    <n v="41"/>
    <n v="85"/>
    <n v="11"/>
    <n v="139"/>
  </r>
  <r>
    <x v="1"/>
    <x v="502"/>
    <x v="0"/>
    <n v="0"/>
    <n v="0"/>
    <n v="0"/>
    <n v="0"/>
    <n v="0"/>
    <n v="0"/>
    <n v="496"/>
    <n v="799"/>
    <n v="121"/>
    <n v="1416"/>
  </r>
  <r>
    <x v="0"/>
    <x v="503"/>
    <x v="0"/>
    <n v="137"/>
    <n v="442"/>
    <n v="471"/>
    <n v="184"/>
    <n v="6"/>
    <n v="0"/>
    <n v="0"/>
    <n v="0"/>
    <n v="0"/>
    <n v="1240"/>
  </r>
  <r>
    <x v="0"/>
    <x v="504"/>
    <x v="0"/>
    <n v="0"/>
    <n v="0"/>
    <n v="3"/>
    <n v="37"/>
    <n v="3"/>
    <n v="0"/>
    <n v="0"/>
    <n v="0"/>
    <n v="0"/>
    <n v="43"/>
  </r>
  <r>
    <x v="1"/>
    <x v="505"/>
    <x v="0"/>
    <n v="0"/>
    <n v="0"/>
    <n v="0"/>
    <n v="46"/>
    <n v="454"/>
    <n v="1967"/>
    <n v="9553"/>
    <n v="2617"/>
    <n v="687"/>
    <n v="15324"/>
  </r>
  <r>
    <x v="0"/>
    <x v="505"/>
    <x v="0"/>
    <n v="0"/>
    <n v="0"/>
    <n v="1"/>
    <n v="2"/>
    <n v="32"/>
    <n v="75"/>
    <n v="66"/>
    <n v="34"/>
    <n v="5"/>
    <n v="215"/>
  </r>
  <r>
    <x v="2"/>
    <x v="505"/>
    <x v="0"/>
    <n v="0"/>
    <n v="0"/>
    <n v="3"/>
    <n v="1"/>
    <n v="0"/>
    <n v="0"/>
    <n v="0"/>
    <n v="0"/>
    <n v="0"/>
    <n v="4"/>
  </r>
  <r>
    <x v="0"/>
    <x v="506"/>
    <x v="0"/>
    <n v="0"/>
    <n v="0"/>
    <n v="0"/>
    <n v="34"/>
    <n v="89"/>
    <n v="601"/>
    <n v="680"/>
    <n v="740"/>
    <n v="348"/>
    <n v="2492"/>
  </r>
  <r>
    <x v="0"/>
    <x v="507"/>
    <x v="0"/>
    <n v="0"/>
    <n v="0"/>
    <n v="0"/>
    <n v="0"/>
    <n v="0"/>
    <n v="0"/>
    <n v="0"/>
    <n v="1077"/>
    <n v="1383"/>
    <n v="2460"/>
  </r>
  <r>
    <x v="2"/>
    <x v="508"/>
    <x v="0"/>
    <n v="1"/>
    <n v="3"/>
    <n v="2"/>
    <n v="0"/>
    <n v="0"/>
    <n v="0"/>
    <n v="0"/>
    <n v="0"/>
    <n v="0"/>
    <n v="6"/>
  </r>
  <r>
    <x v="0"/>
    <x v="509"/>
    <x v="0"/>
    <n v="0"/>
    <n v="0"/>
    <n v="0"/>
    <n v="0"/>
    <n v="1"/>
    <n v="5"/>
    <n v="3"/>
    <n v="14"/>
    <n v="3"/>
    <n v="26"/>
  </r>
  <r>
    <x v="0"/>
    <x v="510"/>
    <x v="0"/>
    <n v="0"/>
    <n v="146"/>
    <n v="283"/>
    <n v="208"/>
    <n v="43"/>
    <n v="115"/>
    <n v="306"/>
    <n v="950"/>
    <n v="678"/>
    <n v="2729"/>
  </r>
  <r>
    <x v="0"/>
    <x v="511"/>
    <x v="0"/>
    <n v="0"/>
    <n v="0"/>
    <n v="0"/>
    <n v="5"/>
    <n v="0"/>
    <n v="0"/>
    <n v="0"/>
    <n v="0"/>
    <n v="0"/>
    <n v="5"/>
  </r>
  <r>
    <x v="1"/>
    <x v="512"/>
    <x v="0"/>
    <n v="0"/>
    <n v="0"/>
    <n v="0"/>
    <n v="0"/>
    <n v="0"/>
    <n v="0"/>
    <n v="9"/>
    <n v="52"/>
    <n v="37"/>
    <n v="98"/>
  </r>
  <r>
    <x v="1"/>
    <x v="513"/>
    <x v="0"/>
    <n v="0"/>
    <n v="0"/>
    <n v="0"/>
    <n v="0"/>
    <n v="0"/>
    <n v="0"/>
    <n v="37"/>
    <n v="212"/>
    <n v="102"/>
    <n v="351"/>
  </r>
  <r>
    <x v="1"/>
    <x v="514"/>
    <x v="0"/>
    <n v="0"/>
    <n v="0"/>
    <n v="0"/>
    <n v="0"/>
    <n v="0"/>
    <n v="0"/>
    <n v="0"/>
    <n v="0"/>
    <n v="52"/>
    <n v="52"/>
  </r>
  <r>
    <x v="1"/>
    <x v="515"/>
    <x v="0"/>
    <n v="0"/>
    <n v="0"/>
    <n v="0"/>
    <n v="0"/>
    <n v="0"/>
    <n v="0"/>
    <n v="0"/>
    <n v="22"/>
    <n v="23"/>
    <n v="45"/>
  </r>
  <r>
    <x v="2"/>
    <x v="516"/>
    <x v="0"/>
    <n v="0"/>
    <n v="2"/>
    <n v="0"/>
    <n v="0"/>
    <n v="0"/>
    <n v="0"/>
    <n v="0"/>
    <n v="0"/>
    <n v="0"/>
    <n v="2"/>
  </r>
  <r>
    <x v="0"/>
    <x v="517"/>
    <x v="0"/>
    <n v="9"/>
    <n v="79"/>
    <n v="238"/>
    <n v="79"/>
    <n v="6"/>
    <n v="0"/>
    <n v="0"/>
    <n v="0"/>
    <n v="0"/>
    <n v="411"/>
  </r>
  <r>
    <x v="2"/>
    <x v="517"/>
    <x v="0"/>
    <n v="0"/>
    <n v="0"/>
    <n v="1"/>
    <n v="0"/>
    <n v="0"/>
    <n v="0"/>
    <n v="0"/>
    <n v="0"/>
    <n v="0"/>
    <n v="1"/>
  </r>
  <r>
    <x v="1"/>
    <x v="518"/>
    <x v="0"/>
    <n v="0"/>
    <n v="0"/>
    <n v="0"/>
    <n v="1"/>
    <n v="0"/>
    <n v="0"/>
    <n v="0"/>
    <n v="0"/>
    <n v="0"/>
    <n v="1"/>
  </r>
  <r>
    <x v="0"/>
    <x v="519"/>
    <x v="0"/>
    <n v="0"/>
    <n v="0"/>
    <n v="52"/>
    <n v="143"/>
    <n v="57"/>
    <n v="129"/>
    <n v="292"/>
    <n v="156"/>
    <n v="93"/>
    <n v="922"/>
  </r>
  <r>
    <x v="0"/>
    <x v="520"/>
    <x v="0"/>
    <n v="0"/>
    <n v="0"/>
    <n v="0"/>
    <n v="0"/>
    <n v="0"/>
    <n v="0"/>
    <n v="0"/>
    <n v="0"/>
    <n v="8"/>
    <n v="8"/>
  </r>
  <r>
    <x v="0"/>
    <x v="521"/>
    <x v="0"/>
    <n v="0"/>
    <n v="0"/>
    <n v="0"/>
    <n v="26"/>
    <n v="19"/>
    <n v="10"/>
    <n v="12"/>
    <n v="38"/>
    <n v="19"/>
    <n v="124"/>
  </r>
  <r>
    <x v="1"/>
    <x v="522"/>
    <x v="0"/>
    <n v="0"/>
    <n v="0"/>
    <n v="0"/>
    <n v="0"/>
    <n v="0"/>
    <n v="5"/>
    <n v="107"/>
    <n v="165"/>
    <n v="27"/>
    <n v="304"/>
  </r>
  <r>
    <x v="0"/>
    <x v="523"/>
    <x v="0"/>
    <n v="0"/>
    <n v="6"/>
    <n v="62"/>
    <n v="40"/>
    <n v="66"/>
    <n v="78"/>
    <n v="263"/>
    <n v="479"/>
    <n v="189"/>
    <n v="1183"/>
  </r>
  <r>
    <x v="0"/>
    <x v="524"/>
    <x v="0"/>
    <n v="0"/>
    <n v="0"/>
    <n v="0"/>
    <n v="0"/>
    <n v="0"/>
    <n v="0"/>
    <n v="0"/>
    <n v="8"/>
    <n v="4"/>
    <n v="12"/>
  </r>
  <r>
    <x v="1"/>
    <x v="525"/>
    <x v="0"/>
    <n v="0"/>
    <n v="0"/>
    <n v="0"/>
    <n v="0"/>
    <n v="0"/>
    <n v="0"/>
    <n v="0"/>
    <n v="7"/>
    <n v="10"/>
    <n v="17"/>
  </r>
  <r>
    <x v="1"/>
    <x v="526"/>
    <x v="0"/>
    <n v="0"/>
    <n v="0"/>
    <n v="0"/>
    <n v="0"/>
    <n v="0"/>
    <n v="0"/>
    <n v="0"/>
    <n v="51"/>
    <n v="12"/>
    <n v="63"/>
  </r>
  <r>
    <x v="1"/>
    <x v="527"/>
    <x v="0"/>
    <n v="0"/>
    <n v="0"/>
    <n v="0"/>
    <n v="0"/>
    <n v="0"/>
    <n v="0"/>
    <n v="0"/>
    <n v="5"/>
    <n v="2"/>
    <n v="7"/>
  </r>
  <r>
    <x v="1"/>
    <x v="528"/>
    <x v="0"/>
    <n v="0"/>
    <n v="0"/>
    <n v="0"/>
    <n v="0"/>
    <n v="0"/>
    <n v="0"/>
    <n v="0"/>
    <n v="0"/>
    <n v="3"/>
    <n v="3"/>
  </r>
  <r>
    <x v="1"/>
    <x v="529"/>
    <x v="0"/>
    <n v="0"/>
    <n v="0"/>
    <n v="0"/>
    <n v="0"/>
    <n v="0"/>
    <n v="0"/>
    <n v="0"/>
    <n v="11"/>
    <n v="17"/>
    <n v="28"/>
  </r>
  <r>
    <x v="0"/>
    <x v="530"/>
    <x v="0"/>
    <n v="0"/>
    <n v="0"/>
    <n v="0"/>
    <n v="0"/>
    <n v="0"/>
    <n v="0"/>
    <n v="0"/>
    <n v="0"/>
    <n v="93"/>
    <n v="93"/>
  </r>
  <r>
    <x v="0"/>
    <x v="531"/>
    <x v="0"/>
    <n v="0"/>
    <n v="0"/>
    <n v="55"/>
    <n v="55"/>
    <n v="39"/>
    <n v="17"/>
    <n v="2"/>
    <n v="2"/>
    <n v="0"/>
    <n v="170"/>
  </r>
  <r>
    <x v="0"/>
    <x v="532"/>
    <x v="0"/>
    <n v="0"/>
    <n v="25"/>
    <n v="5"/>
    <n v="5"/>
    <n v="0"/>
    <n v="0"/>
    <n v="0"/>
    <n v="0"/>
    <n v="0"/>
    <n v="35"/>
  </r>
  <r>
    <x v="0"/>
    <x v="533"/>
    <x v="0"/>
    <n v="0"/>
    <n v="20"/>
    <n v="96"/>
    <n v="250"/>
    <n v="96"/>
    <n v="31"/>
    <n v="110"/>
    <n v="139"/>
    <n v="9"/>
    <n v="751"/>
  </r>
  <r>
    <x v="2"/>
    <x v="533"/>
    <x v="0"/>
    <n v="0"/>
    <n v="1"/>
    <n v="58"/>
    <n v="7"/>
    <n v="0"/>
    <n v="0"/>
    <n v="0"/>
    <n v="0"/>
    <n v="0"/>
    <n v="66"/>
  </r>
  <r>
    <x v="0"/>
    <x v="534"/>
    <x v="0"/>
    <n v="0"/>
    <n v="0"/>
    <n v="1"/>
    <n v="74"/>
    <n v="70"/>
    <n v="83"/>
    <n v="136"/>
    <n v="288"/>
    <n v="211"/>
    <n v="863"/>
  </r>
  <r>
    <x v="0"/>
    <x v="535"/>
    <x v="0"/>
    <n v="0"/>
    <n v="0"/>
    <n v="6"/>
    <n v="5"/>
    <n v="30"/>
    <n v="9"/>
    <n v="61"/>
    <n v="122"/>
    <n v="42"/>
    <n v="275"/>
  </r>
  <r>
    <x v="0"/>
    <x v="536"/>
    <x v="0"/>
    <n v="0"/>
    <n v="0"/>
    <n v="0"/>
    <n v="0"/>
    <n v="0"/>
    <n v="0"/>
    <n v="0"/>
    <n v="0"/>
    <n v="33"/>
    <n v="33"/>
  </r>
  <r>
    <x v="0"/>
    <x v="537"/>
    <x v="0"/>
    <n v="0"/>
    <n v="0"/>
    <n v="0"/>
    <n v="2"/>
    <n v="78"/>
    <n v="1"/>
    <n v="0"/>
    <n v="0"/>
    <n v="0"/>
    <n v="81"/>
  </r>
  <r>
    <x v="0"/>
    <x v="538"/>
    <x v="0"/>
    <n v="0"/>
    <n v="0"/>
    <n v="205"/>
    <n v="657"/>
    <n v="357"/>
    <n v="888"/>
    <n v="1433"/>
    <n v="1846"/>
    <n v="1242"/>
    <n v="6628"/>
  </r>
  <r>
    <x v="0"/>
    <x v="539"/>
    <x v="0"/>
    <n v="0"/>
    <n v="19"/>
    <n v="0"/>
    <n v="0"/>
    <n v="0"/>
    <n v="0"/>
    <n v="0"/>
    <n v="0"/>
    <n v="0"/>
    <n v="19"/>
  </r>
  <r>
    <x v="0"/>
    <x v="540"/>
    <x v="0"/>
    <n v="0"/>
    <n v="0"/>
    <n v="1"/>
    <n v="0"/>
    <n v="0"/>
    <n v="0"/>
    <n v="0"/>
    <n v="0"/>
    <n v="0"/>
    <n v="1"/>
  </r>
  <r>
    <x v="0"/>
    <x v="541"/>
    <x v="0"/>
    <n v="0"/>
    <n v="1"/>
    <n v="0"/>
    <n v="0"/>
    <n v="0"/>
    <n v="0"/>
    <n v="0"/>
    <n v="0"/>
    <n v="0"/>
    <n v="1"/>
  </r>
  <r>
    <x v="2"/>
    <x v="542"/>
    <x v="14"/>
    <n v="0"/>
    <n v="0"/>
    <n v="0"/>
    <n v="0"/>
    <n v="0"/>
    <n v="0"/>
    <n v="0"/>
    <n v="0"/>
    <n v="0"/>
    <n v="3"/>
  </r>
  <r>
    <x v="3"/>
    <x v="542"/>
    <x v="2"/>
    <n v="0"/>
    <n v="0"/>
    <n v="0"/>
    <n v="0"/>
    <n v="0"/>
    <n v="0"/>
    <n v="0"/>
    <n v="0"/>
    <n v="0"/>
    <n v="1"/>
  </r>
  <r>
    <x v="0"/>
    <x v="543"/>
    <x v="0"/>
    <n v="0"/>
    <n v="0"/>
    <n v="0"/>
    <n v="0"/>
    <n v="0"/>
    <n v="0"/>
    <n v="0"/>
    <n v="0"/>
    <n v="2"/>
    <n v="2"/>
  </r>
  <r>
    <x v="0"/>
    <x v="544"/>
    <x v="0"/>
    <n v="0"/>
    <n v="2"/>
    <n v="0"/>
    <n v="0"/>
    <n v="0"/>
    <n v="0"/>
    <n v="0"/>
    <n v="0"/>
    <n v="0"/>
    <n v="2"/>
  </r>
  <r>
    <x v="0"/>
    <x v="545"/>
    <x v="0"/>
    <n v="0"/>
    <n v="0"/>
    <n v="0"/>
    <n v="0"/>
    <n v="0"/>
    <n v="0"/>
    <n v="47"/>
    <n v="197"/>
    <n v="105"/>
    <n v="349"/>
  </r>
  <r>
    <x v="0"/>
    <x v="546"/>
    <x v="0"/>
    <n v="0"/>
    <n v="3"/>
    <n v="1"/>
    <n v="0"/>
    <n v="0"/>
    <n v="0"/>
    <n v="0"/>
    <n v="0"/>
    <n v="0"/>
    <n v="4"/>
  </r>
  <r>
    <x v="0"/>
    <x v="547"/>
    <x v="0"/>
    <n v="0"/>
    <n v="0"/>
    <n v="0"/>
    <n v="0"/>
    <n v="36"/>
    <n v="73"/>
    <n v="32"/>
    <n v="74"/>
    <n v="87"/>
    <n v="302"/>
  </r>
  <r>
    <x v="0"/>
    <x v="548"/>
    <x v="0"/>
    <n v="0"/>
    <n v="0"/>
    <n v="0"/>
    <n v="0"/>
    <n v="0"/>
    <n v="190"/>
    <n v="130"/>
    <n v="224"/>
    <n v="364"/>
    <n v="908"/>
  </r>
  <r>
    <x v="2"/>
    <x v="548"/>
    <x v="0"/>
    <n v="0"/>
    <n v="0"/>
    <n v="0"/>
    <n v="0"/>
    <n v="0"/>
    <n v="1"/>
    <n v="0"/>
    <n v="0"/>
    <n v="0"/>
    <n v="1"/>
  </r>
  <r>
    <x v="0"/>
    <x v="549"/>
    <x v="0"/>
    <n v="0"/>
    <n v="0"/>
    <n v="0"/>
    <n v="0"/>
    <n v="0"/>
    <n v="0"/>
    <n v="0"/>
    <n v="0"/>
    <n v="1"/>
    <n v="1"/>
  </r>
  <r>
    <x v="0"/>
    <x v="550"/>
    <x v="0"/>
    <n v="0"/>
    <n v="0"/>
    <n v="0"/>
    <n v="38"/>
    <n v="72"/>
    <n v="76"/>
    <n v="321"/>
    <n v="339"/>
    <n v="170"/>
    <n v="1016"/>
  </r>
  <r>
    <x v="0"/>
    <x v="551"/>
    <x v="0"/>
    <n v="0"/>
    <n v="0"/>
    <n v="0"/>
    <n v="16"/>
    <n v="8"/>
    <n v="0"/>
    <n v="47"/>
    <n v="405"/>
    <n v="522"/>
    <n v="998"/>
  </r>
  <r>
    <x v="2"/>
    <x v="551"/>
    <x v="0"/>
    <n v="0"/>
    <n v="0"/>
    <n v="1"/>
    <n v="0"/>
    <n v="0"/>
    <n v="0"/>
    <n v="0"/>
    <n v="0"/>
    <n v="0"/>
    <n v="1"/>
  </r>
  <r>
    <x v="0"/>
    <x v="552"/>
    <x v="0"/>
    <n v="0"/>
    <n v="429"/>
    <n v="11"/>
    <n v="0"/>
    <n v="21"/>
    <n v="7"/>
    <n v="31"/>
    <n v="3"/>
    <n v="0"/>
    <n v="502"/>
  </r>
  <r>
    <x v="0"/>
    <x v="553"/>
    <x v="0"/>
    <n v="0"/>
    <n v="129"/>
    <n v="1299"/>
    <n v="1233"/>
    <n v="607"/>
    <n v="1214"/>
    <n v="3712"/>
    <n v="8478"/>
    <n v="5591"/>
    <n v="22263"/>
  </r>
  <r>
    <x v="0"/>
    <x v="554"/>
    <x v="0"/>
    <n v="0"/>
    <n v="1"/>
    <n v="0"/>
    <n v="0"/>
    <n v="0"/>
    <n v="0"/>
    <n v="0"/>
    <n v="0"/>
    <n v="0"/>
    <n v="1"/>
  </r>
  <r>
    <x v="0"/>
    <x v="555"/>
    <x v="0"/>
    <n v="48"/>
    <n v="352"/>
    <n v="177"/>
    <n v="46"/>
    <n v="13"/>
    <n v="7"/>
    <n v="2"/>
    <n v="0"/>
    <n v="0"/>
    <n v="645"/>
  </r>
  <r>
    <x v="2"/>
    <x v="556"/>
    <x v="0"/>
    <n v="0"/>
    <n v="0"/>
    <n v="0"/>
    <n v="0"/>
    <n v="0"/>
    <n v="0"/>
    <n v="215"/>
    <n v="438"/>
    <n v="172"/>
    <n v="825"/>
  </r>
  <r>
    <x v="1"/>
    <x v="557"/>
    <x v="0"/>
    <n v="0"/>
    <n v="0"/>
    <n v="0"/>
    <n v="0"/>
    <n v="0"/>
    <n v="0"/>
    <n v="2085"/>
    <n v="7779"/>
    <n v="7515"/>
    <n v="17379"/>
  </r>
  <r>
    <x v="0"/>
    <x v="557"/>
    <x v="0"/>
    <n v="12"/>
    <n v="383"/>
    <n v="1374"/>
    <n v="1463"/>
    <n v="669"/>
    <n v="835"/>
    <n v="2704"/>
    <n v="4648"/>
    <n v="1756"/>
    <n v="13844"/>
  </r>
  <r>
    <x v="2"/>
    <x v="557"/>
    <x v="0"/>
    <n v="0"/>
    <n v="0"/>
    <n v="3"/>
    <n v="1"/>
    <n v="0"/>
    <n v="840"/>
    <n v="8"/>
    <n v="1"/>
    <n v="30"/>
    <n v="883"/>
  </r>
  <r>
    <x v="0"/>
    <x v="558"/>
    <x v="25"/>
    <n v="2005"/>
    <n v="880"/>
    <n v="68"/>
    <n v="43"/>
    <n v="38"/>
    <n v="136"/>
    <n v="316"/>
    <n v="58"/>
    <n v="0"/>
    <n v="3573"/>
  </r>
  <r>
    <x v="0"/>
    <x v="559"/>
    <x v="14"/>
    <n v="250"/>
    <n v="678"/>
    <n v="13"/>
    <n v="0"/>
    <n v="0"/>
    <n v="0"/>
    <n v="0"/>
    <n v="0"/>
    <n v="0"/>
    <n v="944"/>
  </r>
  <r>
    <x v="2"/>
    <x v="560"/>
    <x v="8"/>
    <n v="3"/>
    <n v="4"/>
    <n v="0"/>
    <n v="0"/>
    <n v="0"/>
    <n v="0"/>
    <n v="4"/>
    <n v="0"/>
    <n v="0"/>
    <n v="13"/>
  </r>
  <r>
    <x v="3"/>
    <x v="560"/>
    <x v="0"/>
    <n v="2"/>
    <n v="0"/>
    <n v="0"/>
    <n v="0"/>
    <n v="0"/>
    <n v="0"/>
    <n v="0"/>
    <n v="0"/>
    <n v="0"/>
    <n v="2"/>
  </r>
  <r>
    <x v="0"/>
    <x v="561"/>
    <x v="0"/>
    <n v="0"/>
    <n v="0"/>
    <n v="0"/>
    <n v="0"/>
    <n v="0"/>
    <n v="0"/>
    <n v="10"/>
    <n v="81"/>
    <n v="77"/>
    <n v="168"/>
  </r>
  <r>
    <x v="0"/>
    <x v="562"/>
    <x v="0"/>
    <n v="8"/>
    <n v="44"/>
    <n v="287"/>
    <n v="266"/>
    <n v="304"/>
    <n v="391"/>
    <n v="101"/>
    <n v="19"/>
    <n v="7"/>
    <n v="1427"/>
  </r>
  <r>
    <x v="2"/>
    <x v="563"/>
    <x v="8"/>
    <n v="1"/>
    <n v="0"/>
    <n v="0"/>
    <n v="0"/>
    <n v="0"/>
    <n v="0"/>
    <n v="0"/>
    <n v="0"/>
    <n v="0"/>
    <n v="3"/>
  </r>
  <r>
    <x v="1"/>
    <x v="564"/>
    <x v="0"/>
    <n v="0"/>
    <n v="0"/>
    <n v="0"/>
    <n v="0"/>
    <n v="0"/>
    <n v="1175"/>
    <n v="3487"/>
    <n v="4173"/>
    <n v="1889"/>
    <n v="10724"/>
  </r>
  <r>
    <x v="0"/>
    <x v="564"/>
    <x v="0"/>
    <n v="0"/>
    <n v="0"/>
    <n v="77"/>
    <n v="80"/>
    <n v="47"/>
    <n v="34"/>
    <n v="9"/>
    <n v="4"/>
    <n v="192"/>
    <n v="443"/>
  </r>
  <r>
    <x v="2"/>
    <x v="564"/>
    <x v="0"/>
    <n v="0"/>
    <n v="0"/>
    <n v="0"/>
    <n v="0"/>
    <n v="0"/>
    <n v="0"/>
    <n v="0"/>
    <n v="0"/>
    <n v="1"/>
    <n v="1"/>
  </r>
  <r>
    <x v="0"/>
    <x v="565"/>
    <x v="26"/>
    <n v="15"/>
    <n v="1"/>
    <n v="0"/>
    <n v="0"/>
    <n v="0"/>
    <n v="0"/>
    <n v="0"/>
    <n v="0"/>
    <n v="0"/>
    <n v="24"/>
  </r>
  <r>
    <x v="0"/>
    <x v="566"/>
    <x v="0"/>
    <n v="3"/>
    <n v="10"/>
    <n v="4"/>
    <n v="0"/>
    <n v="0"/>
    <n v="0"/>
    <n v="0"/>
    <n v="0"/>
    <n v="0"/>
    <n v="17"/>
  </r>
  <r>
    <x v="0"/>
    <x v="567"/>
    <x v="0"/>
    <n v="0"/>
    <n v="0"/>
    <n v="14"/>
    <n v="3"/>
    <n v="3"/>
    <n v="4"/>
    <n v="9"/>
    <n v="11"/>
    <n v="3"/>
    <n v="47"/>
  </r>
  <r>
    <x v="0"/>
    <x v="568"/>
    <x v="0"/>
    <n v="0"/>
    <n v="0"/>
    <n v="0"/>
    <n v="0"/>
    <n v="0"/>
    <n v="0"/>
    <n v="15"/>
    <n v="81"/>
    <n v="26"/>
    <n v="122"/>
  </r>
  <r>
    <x v="0"/>
    <x v="569"/>
    <x v="0"/>
    <n v="0"/>
    <n v="9"/>
    <n v="0"/>
    <n v="0"/>
    <n v="0"/>
    <n v="0"/>
    <n v="0"/>
    <n v="0"/>
    <n v="0"/>
    <n v="9"/>
  </r>
  <r>
    <x v="0"/>
    <x v="570"/>
    <x v="0"/>
    <n v="0"/>
    <n v="0"/>
    <n v="1"/>
    <n v="21"/>
    <n v="27"/>
    <n v="5"/>
    <n v="3"/>
    <n v="0"/>
    <n v="0"/>
    <n v="57"/>
  </r>
  <r>
    <x v="0"/>
    <x v="571"/>
    <x v="0"/>
    <n v="0"/>
    <n v="0"/>
    <n v="10"/>
    <n v="6"/>
    <n v="0"/>
    <n v="0"/>
    <n v="0"/>
    <n v="0"/>
    <n v="0"/>
    <n v="16"/>
  </r>
  <r>
    <x v="0"/>
    <x v="572"/>
    <x v="0"/>
    <n v="0"/>
    <n v="0"/>
    <n v="1"/>
    <n v="0"/>
    <n v="0"/>
    <n v="0"/>
    <n v="0"/>
    <n v="0"/>
    <n v="0"/>
    <n v="1"/>
  </r>
  <r>
    <x v="0"/>
    <x v="573"/>
    <x v="0"/>
    <n v="5"/>
    <n v="6"/>
    <n v="0"/>
    <n v="0"/>
    <n v="0"/>
    <n v="0"/>
    <n v="0"/>
    <n v="0"/>
    <n v="0"/>
    <n v="11"/>
  </r>
  <r>
    <x v="0"/>
    <x v="574"/>
    <x v="0"/>
    <n v="8"/>
    <n v="168"/>
    <n v="394"/>
    <n v="419"/>
    <n v="220"/>
    <n v="530"/>
    <n v="684"/>
    <n v="904"/>
    <n v="748"/>
    <n v="4075"/>
  </r>
  <r>
    <x v="2"/>
    <x v="574"/>
    <x v="0"/>
    <n v="0"/>
    <n v="0"/>
    <n v="2"/>
    <n v="0"/>
    <n v="0"/>
    <n v="0"/>
    <n v="0"/>
    <n v="0"/>
    <n v="0"/>
    <n v="2"/>
  </r>
  <r>
    <x v="0"/>
    <x v="575"/>
    <x v="0"/>
    <n v="0"/>
    <n v="1"/>
    <n v="0"/>
    <n v="28"/>
    <n v="39"/>
    <n v="37"/>
    <n v="41"/>
    <n v="5"/>
    <n v="0"/>
    <n v="151"/>
  </r>
  <r>
    <x v="0"/>
    <x v="576"/>
    <x v="0"/>
    <n v="0"/>
    <n v="0"/>
    <n v="125"/>
    <n v="127"/>
    <n v="40"/>
    <n v="25"/>
    <n v="162"/>
    <n v="335"/>
    <n v="91"/>
    <n v="905"/>
  </r>
  <r>
    <x v="1"/>
    <x v="577"/>
    <x v="2"/>
    <n v="0"/>
    <n v="0"/>
    <n v="0"/>
    <n v="0"/>
    <n v="0"/>
    <n v="0"/>
    <n v="0"/>
    <n v="0"/>
    <n v="0"/>
    <n v="1"/>
  </r>
  <r>
    <x v="2"/>
    <x v="578"/>
    <x v="2"/>
    <n v="0"/>
    <n v="0"/>
    <n v="0"/>
    <n v="0"/>
    <n v="0"/>
    <n v="0"/>
    <n v="0"/>
    <n v="0"/>
    <n v="0"/>
    <n v="1"/>
  </r>
  <r>
    <x v="0"/>
    <x v="579"/>
    <x v="27"/>
    <n v="190"/>
    <n v="421"/>
    <n v="348"/>
    <n v="307"/>
    <n v="207"/>
    <n v="203"/>
    <n v="338"/>
    <n v="569"/>
    <n v="189"/>
    <n v="2811"/>
  </r>
  <r>
    <x v="2"/>
    <x v="579"/>
    <x v="0"/>
    <n v="0"/>
    <n v="0"/>
    <n v="0"/>
    <n v="0"/>
    <n v="0"/>
    <n v="0"/>
    <n v="0"/>
    <n v="1"/>
    <n v="0"/>
    <n v="1"/>
  </r>
  <r>
    <x v="0"/>
    <x v="580"/>
    <x v="0"/>
    <n v="0"/>
    <n v="0"/>
    <n v="0"/>
    <n v="0"/>
    <n v="0"/>
    <n v="314"/>
    <n v="1317"/>
    <n v="2469"/>
    <n v="1100"/>
    <n v="5200"/>
  </r>
  <r>
    <x v="0"/>
    <x v="581"/>
    <x v="0"/>
    <n v="1"/>
    <n v="3"/>
    <n v="0"/>
    <n v="0"/>
    <n v="0"/>
    <n v="0"/>
    <n v="0"/>
    <n v="0"/>
    <n v="0"/>
    <n v="4"/>
  </r>
  <r>
    <x v="0"/>
    <x v="582"/>
    <x v="0"/>
    <n v="0"/>
    <n v="0"/>
    <n v="0"/>
    <n v="0"/>
    <n v="0"/>
    <n v="0"/>
    <n v="0"/>
    <n v="244"/>
    <n v="15"/>
    <n v="259"/>
  </r>
  <r>
    <x v="1"/>
    <x v="583"/>
    <x v="0"/>
    <n v="0"/>
    <n v="0"/>
    <n v="0"/>
    <n v="0"/>
    <n v="0"/>
    <n v="0"/>
    <n v="18"/>
    <n v="540"/>
    <n v="218"/>
    <n v="776"/>
  </r>
  <r>
    <x v="0"/>
    <x v="584"/>
    <x v="0"/>
    <n v="0"/>
    <n v="1"/>
    <n v="0"/>
    <n v="0"/>
    <n v="0"/>
    <n v="0"/>
    <n v="0"/>
    <n v="0"/>
    <n v="0"/>
    <n v="1"/>
  </r>
  <r>
    <x v="2"/>
    <x v="585"/>
    <x v="1"/>
    <n v="1"/>
    <n v="1"/>
    <n v="0"/>
    <n v="0"/>
    <n v="0"/>
    <n v="0"/>
    <n v="0"/>
    <n v="0"/>
    <n v="0"/>
    <n v="8"/>
  </r>
  <r>
    <x v="0"/>
    <x v="586"/>
    <x v="0"/>
    <n v="0"/>
    <n v="0"/>
    <n v="0"/>
    <n v="0"/>
    <n v="0"/>
    <n v="0"/>
    <n v="0"/>
    <n v="15"/>
    <n v="0"/>
    <n v="15"/>
  </r>
  <r>
    <x v="0"/>
    <x v="587"/>
    <x v="0"/>
    <n v="0"/>
    <n v="0"/>
    <n v="0"/>
    <n v="24"/>
    <n v="14"/>
    <n v="33"/>
    <n v="85"/>
    <n v="240"/>
    <n v="168"/>
    <n v="564"/>
  </r>
  <r>
    <x v="0"/>
    <x v="588"/>
    <x v="0"/>
    <n v="0"/>
    <n v="0"/>
    <n v="0"/>
    <n v="13"/>
    <n v="0"/>
    <n v="3"/>
    <n v="9"/>
    <n v="0"/>
    <n v="10"/>
    <n v="35"/>
  </r>
  <r>
    <x v="0"/>
    <x v="589"/>
    <x v="0"/>
    <n v="0"/>
    <n v="0"/>
    <n v="0"/>
    <n v="0"/>
    <n v="0"/>
    <n v="0"/>
    <n v="0"/>
    <n v="0"/>
    <n v="45"/>
    <n v="45"/>
  </r>
  <r>
    <x v="0"/>
    <x v="590"/>
    <x v="0"/>
    <n v="0"/>
    <n v="0"/>
    <n v="2"/>
    <n v="2"/>
    <n v="0"/>
    <n v="0"/>
    <n v="0"/>
    <n v="0"/>
    <n v="0"/>
    <n v="4"/>
  </r>
  <r>
    <x v="0"/>
    <x v="591"/>
    <x v="0"/>
    <n v="0"/>
    <n v="60"/>
    <n v="0"/>
    <n v="1"/>
    <n v="1"/>
    <n v="0"/>
    <n v="0"/>
    <n v="1"/>
    <n v="0"/>
    <n v="63"/>
  </r>
  <r>
    <x v="0"/>
    <x v="592"/>
    <x v="0"/>
    <n v="0"/>
    <n v="0"/>
    <n v="144"/>
    <n v="302"/>
    <n v="153"/>
    <n v="301"/>
    <n v="396"/>
    <n v="358"/>
    <n v="264"/>
    <n v="1918"/>
  </r>
  <r>
    <x v="2"/>
    <x v="592"/>
    <x v="0"/>
    <n v="0"/>
    <n v="0"/>
    <n v="0"/>
    <n v="1"/>
    <n v="0"/>
    <n v="0"/>
    <n v="0"/>
    <n v="0"/>
    <n v="0"/>
    <n v="1"/>
  </r>
  <r>
    <x v="0"/>
    <x v="593"/>
    <x v="0"/>
    <n v="0"/>
    <n v="0"/>
    <n v="16"/>
    <n v="35"/>
    <n v="11"/>
    <n v="18"/>
    <n v="7"/>
    <n v="0"/>
    <n v="0"/>
    <n v="87"/>
  </r>
  <r>
    <x v="1"/>
    <x v="594"/>
    <x v="0"/>
    <n v="0"/>
    <n v="0"/>
    <n v="0"/>
    <n v="0"/>
    <n v="0"/>
    <n v="0"/>
    <n v="2350"/>
    <n v="6203"/>
    <n v="2661"/>
    <n v="11214"/>
  </r>
  <r>
    <x v="0"/>
    <x v="594"/>
    <x v="0"/>
    <n v="0"/>
    <n v="0"/>
    <n v="0"/>
    <n v="0"/>
    <n v="7"/>
    <n v="876"/>
    <n v="4646"/>
    <n v="7288"/>
    <n v="3785"/>
    <n v="16602"/>
  </r>
  <r>
    <x v="2"/>
    <x v="594"/>
    <x v="0"/>
    <n v="0"/>
    <n v="0"/>
    <n v="0"/>
    <n v="0"/>
    <n v="0"/>
    <n v="0"/>
    <n v="0"/>
    <n v="4"/>
    <n v="1"/>
    <n v="5"/>
  </r>
  <r>
    <x v="0"/>
    <x v="595"/>
    <x v="0"/>
    <n v="0"/>
    <n v="0"/>
    <n v="0"/>
    <n v="0"/>
    <n v="0"/>
    <n v="0"/>
    <n v="0"/>
    <n v="13"/>
    <n v="4"/>
    <n v="17"/>
  </r>
  <r>
    <x v="1"/>
    <x v="596"/>
    <x v="0"/>
    <n v="0"/>
    <n v="0"/>
    <n v="0"/>
    <n v="0"/>
    <n v="40"/>
    <n v="5"/>
    <n v="0"/>
    <n v="5"/>
    <n v="0"/>
    <n v="50"/>
  </r>
  <r>
    <x v="1"/>
    <x v="597"/>
    <x v="0"/>
    <n v="0"/>
    <n v="0"/>
    <n v="0"/>
    <n v="0"/>
    <n v="0"/>
    <n v="0"/>
    <n v="0"/>
    <n v="0"/>
    <n v="2"/>
    <n v="2"/>
  </r>
  <r>
    <x v="0"/>
    <x v="598"/>
    <x v="0"/>
    <n v="0"/>
    <n v="0"/>
    <n v="0"/>
    <n v="0"/>
    <n v="0"/>
    <n v="0"/>
    <n v="0"/>
    <n v="0"/>
    <n v="194"/>
    <n v="194"/>
  </r>
  <r>
    <x v="2"/>
    <x v="599"/>
    <x v="0"/>
    <n v="0"/>
    <n v="0"/>
    <n v="0"/>
    <n v="1"/>
    <n v="0"/>
    <n v="0"/>
    <n v="9"/>
    <n v="0"/>
    <n v="0"/>
    <n v="10"/>
  </r>
  <r>
    <x v="3"/>
    <x v="599"/>
    <x v="0"/>
    <n v="0"/>
    <n v="0"/>
    <n v="1"/>
    <n v="0"/>
    <n v="0"/>
    <n v="0"/>
    <n v="0"/>
    <n v="0"/>
    <n v="0"/>
    <n v="1"/>
  </r>
  <r>
    <x v="1"/>
    <x v="600"/>
    <x v="0"/>
    <n v="0"/>
    <n v="10"/>
    <n v="0"/>
    <n v="0"/>
    <n v="0"/>
    <n v="0"/>
    <n v="0"/>
    <n v="0"/>
    <n v="0"/>
    <n v="10"/>
  </r>
  <r>
    <x v="0"/>
    <x v="600"/>
    <x v="0"/>
    <n v="22"/>
    <n v="38"/>
    <n v="3"/>
    <n v="0"/>
    <n v="0"/>
    <n v="0"/>
    <n v="0"/>
    <n v="0"/>
    <n v="0"/>
    <n v="63"/>
  </r>
  <r>
    <x v="2"/>
    <x v="601"/>
    <x v="8"/>
    <n v="0"/>
    <n v="1"/>
    <n v="0"/>
    <n v="0"/>
    <n v="0"/>
    <n v="0"/>
    <n v="0"/>
    <n v="0"/>
    <n v="0"/>
    <n v="3"/>
  </r>
  <r>
    <x v="0"/>
    <x v="602"/>
    <x v="0"/>
    <n v="0"/>
    <n v="0"/>
    <n v="0"/>
    <n v="0"/>
    <n v="0"/>
    <n v="0"/>
    <n v="0"/>
    <n v="11"/>
    <n v="0"/>
    <n v="11"/>
  </r>
  <r>
    <x v="2"/>
    <x v="602"/>
    <x v="0"/>
    <n v="0"/>
    <n v="0"/>
    <n v="0"/>
    <n v="0"/>
    <n v="0"/>
    <n v="1"/>
    <n v="0"/>
    <n v="0"/>
    <n v="0"/>
    <n v="1"/>
  </r>
  <r>
    <x v="1"/>
    <x v="603"/>
    <x v="0"/>
    <n v="0"/>
    <n v="0"/>
    <n v="0"/>
    <n v="0"/>
    <n v="0"/>
    <n v="21"/>
    <n v="0"/>
    <n v="0"/>
    <n v="0"/>
    <n v="21"/>
  </r>
  <r>
    <x v="1"/>
    <x v="604"/>
    <x v="0"/>
    <n v="0"/>
    <n v="1"/>
    <n v="0"/>
    <n v="0"/>
    <n v="0"/>
    <n v="0"/>
    <n v="0"/>
    <n v="0"/>
    <n v="0"/>
    <n v="1"/>
  </r>
  <r>
    <x v="0"/>
    <x v="604"/>
    <x v="28"/>
    <n v="133"/>
    <n v="184"/>
    <n v="666"/>
    <n v="714"/>
    <n v="377"/>
    <n v="511"/>
    <n v="1523"/>
    <n v="1644"/>
    <n v="770"/>
    <n v="6527"/>
  </r>
  <r>
    <x v="2"/>
    <x v="604"/>
    <x v="0"/>
    <n v="0"/>
    <n v="0"/>
    <n v="5"/>
    <n v="0"/>
    <n v="0"/>
    <n v="0"/>
    <n v="0"/>
    <n v="0"/>
    <n v="0"/>
    <n v="5"/>
  </r>
  <r>
    <x v="0"/>
    <x v="605"/>
    <x v="0"/>
    <n v="400"/>
    <n v="420"/>
    <n v="165"/>
    <n v="94"/>
    <n v="54"/>
    <n v="30"/>
    <n v="185"/>
    <n v="20"/>
    <n v="0"/>
    <n v="1368"/>
  </r>
  <r>
    <x v="0"/>
    <x v="606"/>
    <x v="0"/>
    <n v="0"/>
    <n v="0"/>
    <n v="0"/>
    <n v="0"/>
    <n v="3"/>
    <n v="65"/>
    <n v="114"/>
    <n v="186"/>
    <n v="50"/>
    <n v="418"/>
  </r>
  <r>
    <x v="0"/>
    <x v="607"/>
    <x v="0"/>
    <n v="441"/>
    <n v="4"/>
    <n v="3"/>
    <n v="0"/>
    <n v="0"/>
    <n v="0"/>
    <n v="0"/>
    <n v="0"/>
    <n v="0"/>
    <n v="448"/>
  </r>
  <r>
    <x v="0"/>
    <x v="608"/>
    <x v="0"/>
    <n v="0"/>
    <n v="8"/>
    <n v="1"/>
    <n v="0"/>
    <n v="0"/>
    <n v="0"/>
    <n v="0"/>
    <n v="0"/>
    <n v="0"/>
    <n v="9"/>
  </r>
  <r>
    <x v="0"/>
    <x v="609"/>
    <x v="0"/>
    <n v="0"/>
    <n v="0"/>
    <n v="0"/>
    <n v="0"/>
    <n v="0"/>
    <n v="0"/>
    <n v="0"/>
    <n v="38"/>
    <n v="88"/>
    <n v="126"/>
  </r>
  <r>
    <x v="0"/>
    <x v="610"/>
    <x v="0"/>
    <n v="0"/>
    <n v="0"/>
    <n v="11"/>
    <n v="65"/>
    <n v="41"/>
    <n v="5"/>
    <n v="64"/>
    <n v="145"/>
    <n v="53"/>
    <n v="384"/>
  </r>
  <r>
    <x v="2"/>
    <x v="610"/>
    <x v="0"/>
    <n v="0"/>
    <n v="0"/>
    <n v="0"/>
    <n v="1"/>
    <n v="0"/>
    <n v="0"/>
    <n v="0"/>
    <n v="0"/>
    <n v="0"/>
    <n v="1"/>
  </r>
  <r>
    <x v="0"/>
    <x v="611"/>
    <x v="0"/>
    <n v="0"/>
    <n v="0"/>
    <n v="0"/>
    <n v="1"/>
    <n v="2"/>
    <n v="0"/>
    <n v="0"/>
    <n v="2"/>
    <n v="12"/>
    <n v="17"/>
  </r>
  <r>
    <x v="0"/>
    <x v="612"/>
    <x v="0"/>
    <n v="210"/>
    <n v="169"/>
    <n v="16"/>
    <n v="1"/>
    <n v="0"/>
    <n v="0"/>
    <n v="0"/>
    <n v="0"/>
    <n v="0"/>
    <n v="396"/>
  </r>
  <r>
    <x v="2"/>
    <x v="613"/>
    <x v="0"/>
    <n v="2"/>
    <n v="0"/>
    <n v="0"/>
    <n v="0"/>
    <n v="0"/>
    <n v="0"/>
    <n v="0"/>
    <n v="0"/>
    <n v="0"/>
    <n v="2"/>
  </r>
  <r>
    <x v="0"/>
    <x v="614"/>
    <x v="0"/>
    <n v="131"/>
    <n v="408"/>
    <n v="487"/>
    <n v="210"/>
    <n v="194"/>
    <n v="305"/>
    <n v="477"/>
    <n v="1097"/>
    <n v="657"/>
    <n v="3966"/>
  </r>
  <r>
    <x v="2"/>
    <x v="614"/>
    <x v="0"/>
    <n v="0"/>
    <n v="0"/>
    <n v="0"/>
    <n v="0"/>
    <n v="0"/>
    <n v="1"/>
    <n v="0"/>
    <n v="0"/>
    <n v="0"/>
    <n v="1"/>
  </r>
  <r>
    <x v="0"/>
    <x v="615"/>
    <x v="29"/>
    <n v="3089"/>
    <n v="386"/>
    <n v="66"/>
    <n v="0"/>
    <n v="2"/>
    <n v="0"/>
    <n v="0"/>
    <n v="0"/>
    <n v="0"/>
    <n v="4420"/>
  </r>
  <r>
    <x v="2"/>
    <x v="615"/>
    <x v="0"/>
    <n v="2"/>
    <n v="2"/>
    <n v="11"/>
    <n v="0"/>
    <n v="0"/>
    <n v="0"/>
    <n v="0"/>
    <n v="0"/>
    <n v="0"/>
    <n v="15"/>
  </r>
  <r>
    <x v="0"/>
    <x v="616"/>
    <x v="0"/>
    <n v="84"/>
    <n v="420"/>
    <n v="45"/>
    <n v="0"/>
    <n v="0"/>
    <n v="0"/>
    <n v="0"/>
    <n v="0"/>
    <n v="0"/>
    <n v="549"/>
  </r>
  <r>
    <x v="2"/>
    <x v="616"/>
    <x v="0"/>
    <n v="0"/>
    <n v="11"/>
    <n v="1"/>
    <n v="0"/>
    <n v="0"/>
    <n v="0"/>
    <n v="0"/>
    <n v="0"/>
    <n v="0"/>
    <n v="12"/>
  </r>
  <r>
    <x v="0"/>
    <x v="617"/>
    <x v="0"/>
    <n v="0"/>
    <n v="0"/>
    <n v="0"/>
    <n v="0"/>
    <n v="0"/>
    <n v="0"/>
    <n v="17"/>
    <n v="0"/>
    <n v="0"/>
    <n v="17"/>
  </r>
  <r>
    <x v="2"/>
    <x v="618"/>
    <x v="0"/>
    <n v="0"/>
    <n v="0"/>
    <n v="0"/>
    <n v="0"/>
    <n v="0"/>
    <n v="0"/>
    <n v="0"/>
    <n v="0"/>
    <n v="1"/>
    <n v="1"/>
  </r>
  <r>
    <x v="0"/>
    <x v="619"/>
    <x v="0"/>
    <n v="626"/>
    <n v="2227"/>
    <n v="2250"/>
    <n v="1614"/>
    <n v="692"/>
    <n v="787"/>
    <n v="2205"/>
    <n v="3637"/>
    <n v="1852"/>
    <n v="15890"/>
  </r>
  <r>
    <x v="2"/>
    <x v="619"/>
    <x v="0"/>
    <n v="0"/>
    <n v="1"/>
    <n v="18"/>
    <n v="1"/>
    <n v="0"/>
    <n v="0"/>
    <n v="0"/>
    <n v="0"/>
    <n v="0"/>
    <n v="20"/>
  </r>
  <r>
    <x v="0"/>
    <x v="620"/>
    <x v="0"/>
    <n v="0"/>
    <n v="3"/>
    <n v="0"/>
    <n v="0"/>
    <n v="0"/>
    <n v="0"/>
    <n v="2"/>
    <n v="0"/>
    <n v="0"/>
    <n v="5"/>
  </r>
  <r>
    <x v="0"/>
    <x v="621"/>
    <x v="0"/>
    <n v="0"/>
    <n v="1"/>
    <n v="0"/>
    <n v="0"/>
    <n v="0"/>
    <n v="0"/>
    <n v="0"/>
    <n v="0"/>
    <n v="0"/>
    <n v="1"/>
  </r>
  <r>
    <x v="0"/>
    <x v="622"/>
    <x v="0"/>
    <n v="0"/>
    <n v="0"/>
    <n v="0"/>
    <n v="0"/>
    <n v="0"/>
    <n v="3"/>
    <n v="0"/>
    <n v="0"/>
    <n v="0"/>
    <n v="3"/>
  </r>
  <r>
    <x v="1"/>
    <x v="623"/>
    <x v="0"/>
    <n v="0"/>
    <n v="0"/>
    <n v="0"/>
    <n v="0"/>
    <n v="1"/>
    <n v="0"/>
    <n v="0"/>
    <n v="0"/>
    <n v="0"/>
    <n v="1"/>
  </r>
  <r>
    <x v="1"/>
    <x v="624"/>
    <x v="0"/>
    <n v="0"/>
    <n v="0"/>
    <n v="0"/>
    <n v="0"/>
    <n v="0"/>
    <n v="0"/>
    <n v="3"/>
    <n v="0"/>
    <n v="0"/>
    <n v="3"/>
  </r>
  <r>
    <x v="0"/>
    <x v="624"/>
    <x v="0"/>
    <n v="0"/>
    <n v="0"/>
    <n v="0"/>
    <n v="0"/>
    <n v="0"/>
    <n v="0"/>
    <n v="8"/>
    <n v="7"/>
    <n v="35"/>
    <n v="50"/>
  </r>
  <r>
    <x v="2"/>
    <x v="624"/>
    <x v="0"/>
    <n v="0"/>
    <n v="0"/>
    <n v="0"/>
    <n v="0"/>
    <n v="0"/>
    <n v="0"/>
    <n v="0"/>
    <n v="0"/>
    <n v="3"/>
    <n v="3"/>
  </r>
  <r>
    <x v="0"/>
    <x v="625"/>
    <x v="0"/>
    <n v="0"/>
    <n v="28"/>
    <n v="0"/>
    <n v="1"/>
    <n v="0"/>
    <n v="0"/>
    <n v="0"/>
    <n v="0"/>
    <n v="0"/>
    <n v="29"/>
  </r>
  <r>
    <x v="1"/>
    <x v="626"/>
    <x v="0"/>
    <n v="0"/>
    <n v="0"/>
    <n v="0"/>
    <n v="0"/>
    <n v="19"/>
    <n v="38"/>
    <n v="4"/>
    <n v="2"/>
    <n v="0"/>
    <n v="63"/>
  </r>
  <r>
    <x v="0"/>
    <x v="627"/>
    <x v="0"/>
    <n v="0"/>
    <n v="0"/>
    <n v="0"/>
    <n v="17"/>
    <n v="54"/>
    <n v="105"/>
    <n v="50"/>
    <n v="0"/>
    <n v="8"/>
    <n v="234"/>
  </r>
  <r>
    <x v="0"/>
    <x v="628"/>
    <x v="0"/>
    <n v="0"/>
    <n v="0"/>
    <n v="0"/>
    <n v="0"/>
    <n v="0"/>
    <n v="0"/>
    <n v="0"/>
    <n v="0"/>
    <n v="11"/>
    <n v="11"/>
  </r>
  <r>
    <x v="0"/>
    <x v="629"/>
    <x v="0"/>
    <n v="0"/>
    <n v="0"/>
    <n v="0"/>
    <n v="0"/>
    <n v="0"/>
    <n v="11"/>
    <n v="17"/>
    <n v="153"/>
    <n v="230"/>
    <n v="411"/>
  </r>
  <r>
    <x v="1"/>
    <x v="630"/>
    <x v="0"/>
    <n v="0"/>
    <n v="0"/>
    <n v="0"/>
    <n v="0"/>
    <n v="0"/>
    <n v="0"/>
    <n v="18"/>
    <n v="4"/>
    <n v="0"/>
    <n v="22"/>
  </r>
  <r>
    <x v="0"/>
    <x v="631"/>
    <x v="30"/>
    <n v="982"/>
    <n v="1196"/>
    <n v="2033"/>
    <n v="1988"/>
    <n v="881"/>
    <n v="1804"/>
    <n v="2865"/>
    <n v="2571"/>
    <n v="1373"/>
    <n v="15716"/>
  </r>
  <r>
    <x v="2"/>
    <x v="631"/>
    <x v="0"/>
    <n v="0"/>
    <n v="0"/>
    <n v="1"/>
    <n v="0"/>
    <n v="0"/>
    <n v="0"/>
    <n v="0"/>
    <n v="0"/>
    <n v="0"/>
    <n v="1"/>
  </r>
  <r>
    <x v="0"/>
    <x v="632"/>
    <x v="0"/>
    <n v="0"/>
    <n v="147"/>
    <n v="431"/>
    <n v="537"/>
    <n v="248"/>
    <n v="289"/>
    <n v="469"/>
    <n v="564"/>
    <n v="401"/>
    <n v="3086"/>
  </r>
  <r>
    <x v="2"/>
    <x v="632"/>
    <x v="0"/>
    <n v="0"/>
    <n v="0"/>
    <n v="1"/>
    <n v="0"/>
    <n v="0"/>
    <n v="0"/>
    <n v="0"/>
    <n v="0"/>
    <n v="0"/>
    <n v="1"/>
  </r>
  <r>
    <x v="1"/>
    <x v="633"/>
    <x v="0"/>
    <n v="0"/>
    <n v="0"/>
    <n v="0"/>
    <n v="0"/>
    <n v="0"/>
    <n v="0"/>
    <n v="0"/>
    <n v="1"/>
    <n v="27"/>
    <n v="28"/>
  </r>
  <r>
    <x v="1"/>
    <x v="634"/>
    <x v="0"/>
    <n v="0"/>
    <n v="0"/>
    <n v="0"/>
    <n v="0"/>
    <n v="0"/>
    <n v="0"/>
    <n v="0"/>
    <n v="1"/>
    <n v="1"/>
    <n v="2"/>
  </r>
  <r>
    <x v="0"/>
    <x v="635"/>
    <x v="0"/>
    <n v="0"/>
    <n v="2"/>
    <n v="0"/>
    <n v="0"/>
    <n v="0"/>
    <n v="0"/>
    <n v="0"/>
    <n v="0"/>
    <n v="0"/>
    <n v="2"/>
  </r>
  <r>
    <x v="2"/>
    <x v="635"/>
    <x v="8"/>
    <n v="2"/>
    <n v="0"/>
    <n v="0"/>
    <n v="0"/>
    <n v="0"/>
    <n v="6"/>
    <n v="0"/>
    <n v="0"/>
    <n v="0"/>
    <n v="10"/>
  </r>
  <r>
    <x v="2"/>
    <x v="636"/>
    <x v="0"/>
    <n v="0"/>
    <n v="0"/>
    <n v="0"/>
    <n v="0"/>
    <n v="0"/>
    <n v="0"/>
    <n v="1"/>
    <n v="2"/>
    <n v="0"/>
    <n v="3"/>
  </r>
  <r>
    <x v="2"/>
    <x v="637"/>
    <x v="14"/>
    <n v="0"/>
    <n v="0"/>
    <n v="0"/>
    <n v="0"/>
    <n v="0"/>
    <n v="0"/>
    <n v="0"/>
    <n v="0"/>
    <n v="0"/>
    <n v="3"/>
  </r>
  <r>
    <x v="1"/>
    <x v="638"/>
    <x v="2"/>
    <n v="0"/>
    <n v="0"/>
    <n v="0"/>
    <n v="0"/>
    <n v="0"/>
    <n v="0"/>
    <n v="0"/>
    <n v="0"/>
    <n v="0"/>
    <n v="1"/>
  </r>
  <r>
    <x v="0"/>
    <x v="639"/>
    <x v="0"/>
    <n v="0"/>
    <n v="0"/>
    <n v="22"/>
    <n v="32"/>
    <n v="8"/>
    <n v="13"/>
    <n v="80"/>
    <n v="60"/>
    <n v="1"/>
    <n v="216"/>
  </r>
  <r>
    <x v="2"/>
    <x v="639"/>
    <x v="0"/>
    <n v="0"/>
    <n v="0"/>
    <n v="1"/>
    <n v="0"/>
    <n v="0"/>
    <n v="0"/>
    <n v="0"/>
    <n v="0"/>
    <n v="0"/>
    <n v="1"/>
  </r>
  <r>
    <x v="1"/>
    <x v="640"/>
    <x v="9"/>
    <n v="1"/>
    <n v="0"/>
    <n v="1"/>
    <n v="0"/>
    <n v="0"/>
    <n v="0"/>
    <n v="0"/>
    <n v="0"/>
    <n v="0"/>
    <n v="6"/>
  </r>
  <r>
    <x v="0"/>
    <x v="640"/>
    <x v="8"/>
    <n v="35"/>
    <n v="242"/>
    <n v="4150"/>
    <n v="6725"/>
    <n v="4564"/>
    <n v="3860"/>
    <n v="13558"/>
    <n v="37942"/>
    <n v="1331"/>
    <n v="72409"/>
  </r>
  <r>
    <x v="2"/>
    <x v="640"/>
    <x v="17"/>
    <n v="344"/>
    <n v="443"/>
    <n v="974"/>
    <n v="687"/>
    <n v="419"/>
    <n v="115"/>
    <n v="333"/>
    <n v="4505"/>
    <n v="4305"/>
    <n v="12379"/>
  </r>
  <r>
    <x v="2"/>
    <x v="641"/>
    <x v="0"/>
    <n v="1"/>
    <n v="0"/>
    <n v="1"/>
    <n v="0"/>
    <n v="0"/>
    <n v="0"/>
    <n v="0"/>
    <n v="0"/>
    <n v="0"/>
    <n v="2"/>
  </r>
  <r>
    <x v="0"/>
    <x v="642"/>
    <x v="0"/>
    <n v="0"/>
    <n v="33"/>
    <n v="3"/>
    <n v="0"/>
    <n v="0"/>
    <n v="0"/>
    <n v="0"/>
    <n v="0"/>
    <n v="0"/>
    <n v="36"/>
  </r>
  <r>
    <x v="1"/>
    <x v="643"/>
    <x v="0"/>
    <n v="0"/>
    <n v="0"/>
    <n v="1"/>
    <n v="0"/>
    <n v="0"/>
    <n v="0"/>
    <n v="0"/>
    <n v="0"/>
    <n v="0"/>
    <n v="1"/>
  </r>
  <r>
    <x v="0"/>
    <x v="643"/>
    <x v="0"/>
    <n v="0"/>
    <n v="51"/>
    <n v="35"/>
    <n v="1786"/>
    <n v="3219"/>
    <n v="6711"/>
    <n v="15931"/>
    <n v="4949"/>
    <n v="57"/>
    <n v="32739"/>
  </r>
  <r>
    <x v="2"/>
    <x v="643"/>
    <x v="31"/>
    <n v="306"/>
    <n v="499"/>
    <n v="461"/>
    <n v="99"/>
    <n v="35"/>
    <n v="82"/>
    <n v="66"/>
    <n v="56"/>
    <n v="1"/>
    <n v="2067"/>
  </r>
  <r>
    <x v="0"/>
    <x v="644"/>
    <x v="0"/>
    <n v="1"/>
    <n v="0"/>
    <n v="0"/>
    <n v="0"/>
    <n v="0"/>
    <n v="0"/>
    <n v="0"/>
    <n v="0"/>
    <n v="0"/>
    <n v="1"/>
  </r>
  <r>
    <x v="0"/>
    <x v="645"/>
    <x v="0"/>
    <n v="0"/>
    <n v="0"/>
    <n v="0"/>
    <n v="0"/>
    <n v="0"/>
    <n v="0"/>
    <n v="0"/>
    <n v="11733"/>
    <n v="34331"/>
    <n v="46064"/>
  </r>
  <r>
    <x v="2"/>
    <x v="645"/>
    <x v="0"/>
    <n v="0"/>
    <n v="0"/>
    <n v="0"/>
    <n v="0"/>
    <n v="0"/>
    <n v="0"/>
    <n v="0"/>
    <n v="40"/>
    <n v="430"/>
    <n v="470"/>
  </r>
  <r>
    <x v="0"/>
    <x v="646"/>
    <x v="0"/>
    <n v="0"/>
    <n v="19"/>
    <n v="6"/>
    <n v="0"/>
    <n v="0"/>
    <n v="0"/>
    <n v="0"/>
    <n v="0"/>
    <n v="0"/>
    <n v="25"/>
  </r>
  <r>
    <x v="0"/>
    <x v="647"/>
    <x v="0"/>
    <n v="3"/>
    <n v="0"/>
    <n v="0"/>
    <n v="0"/>
    <n v="0"/>
    <n v="0"/>
    <n v="0"/>
    <n v="0"/>
    <n v="0"/>
    <n v="3"/>
  </r>
  <r>
    <x v="2"/>
    <x v="648"/>
    <x v="8"/>
    <n v="0"/>
    <n v="0"/>
    <n v="1"/>
    <n v="0"/>
    <n v="0"/>
    <n v="0"/>
    <n v="0"/>
    <n v="0"/>
    <n v="0"/>
    <n v="3"/>
  </r>
  <r>
    <x v="1"/>
    <x v="649"/>
    <x v="28"/>
    <n v="14"/>
    <n v="0"/>
    <n v="0"/>
    <n v="0"/>
    <n v="0"/>
    <n v="0"/>
    <n v="0"/>
    <n v="0"/>
    <n v="0"/>
    <n v="19"/>
  </r>
  <r>
    <x v="2"/>
    <x v="649"/>
    <x v="0"/>
    <n v="0"/>
    <n v="2"/>
    <n v="0"/>
    <n v="0"/>
    <n v="0"/>
    <n v="0"/>
    <n v="0"/>
    <n v="0"/>
    <n v="0"/>
    <n v="2"/>
  </r>
  <r>
    <x v="2"/>
    <x v="650"/>
    <x v="2"/>
    <n v="0"/>
    <n v="0"/>
    <n v="0"/>
    <n v="0"/>
    <n v="0"/>
    <n v="0"/>
    <n v="0"/>
    <n v="0"/>
    <n v="0"/>
    <n v="1"/>
  </r>
  <r>
    <x v="0"/>
    <x v="651"/>
    <x v="0"/>
    <n v="0"/>
    <n v="0"/>
    <n v="0"/>
    <n v="0"/>
    <n v="0"/>
    <n v="7"/>
    <n v="186"/>
    <n v="778"/>
    <n v="590"/>
    <n v="1561"/>
  </r>
  <r>
    <x v="0"/>
    <x v="652"/>
    <x v="0"/>
    <n v="0"/>
    <n v="0"/>
    <n v="0"/>
    <n v="0"/>
    <n v="0"/>
    <n v="0"/>
    <n v="0"/>
    <n v="52"/>
    <n v="50"/>
    <n v="102"/>
  </r>
  <r>
    <x v="0"/>
    <x v="653"/>
    <x v="0"/>
    <n v="0"/>
    <n v="35"/>
    <n v="47"/>
    <n v="6"/>
    <n v="0"/>
    <n v="0"/>
    <n v="0"/>
    <n v="0"/>
    <n v="0"/>
    <n v="88"/>
  </r>
  <r>
    <x v="0"/>
    <x v="654"/>
    <x v="0"/>
    <n v="0"/>
    <n v="0"/>
    <n v="107"/>
    <n v="499"/>
    <n v="103"/>
    <n v="84"/>
    <n v="133"/>
    <n v="10"/>
    <n v="2"/>
    <n v="938"/>
  </r>
  <r>
    <x v="0"/>
    <x v="655"/>
    <x v="0"/>
    <n v="0"/>
    <n v="14"/>
    <n v="0"/>
    <n v="0"/>
    <n v="0"/>
    <n v="0"/>
    <n v="0"/>
    <n v="0"/>
    <n v="0"/>
    <n v="14"/>
  </r>
  <r>
    <x v="0"/>
    <x v="656"/>
    <x v="0"/>
    <n v="0"/>
    <n v="0"/>
    <n v="16"/>
    <n v="52"/>
    <n v="19"/>
    <n v="0"/>
    <n v="0"/>
    <n v="299"/>
    <n v="766"/>
    <n v="1152"/>
  </r>
  <r>
    <x v="0"/>
    <x v="657"/>
    <x v="0"/>
    <n v="0"/>
    <n v="0"/>
    <n v="0"/>
    <n v="0"/>
    <n v="0"/>
    <n v="28"/>
    <n v="173"/>
    <n v="433"/>
    <n v="195"/>
    <n v="829"/>
  </r>
  <r>
    <x v="0"/>
    <x v="658"/>
    <x v="0"/>
    <n v="0"/>
    <n v="0"/>
    <n v="8"/>
    <n v="167"/>
    <n v="162"/>
    <n v="396"/>
    <n v="854"/>
    <n v="1810"/>
    <n v="1280"/>
    <n v="4677"/>
  </r>
  <r>
    <x v="2"/>
    <x v="658"/>
    <x v="0"/>
    <n v="0"/>
    <n v="0"/>
    <n v="0"/>
    <n v="0"/>
    <n v="1"/>
    <n v="0"/>
    <n v="0"/>
    <n v="0"/>
    <n v="0"/>
    <n v="1"/>
  </r>
  <r>
    <x v="0"/>
    <x v="659"/>
    <x v="0"/>
    <n v="0"/>
    <n v="0"/>
    <n v="0"/>
    <n v="54"/>
    <n v="25"/>
    <n v="6"/>
    <n v="39"/>
    <n v="64"/>
    <n v="65"/>
    <n v="253"/>
  </r>
  <r>
    <x v="0"/>
    <x v="660"/>
    <x v="0"/>
    <n v="0"/>
    <n v="0"/>
    <n v="0"/>
    <n v="0"/>
    <n v="4"/>
    <n v="2"/>
    <n v="14"/>
    <n v="4"/>
    <n v="0"/>
    <n v="24"/>
  </r>
  <r>
    <x v="0"/>
    <x v="661"/>
    <x v="0"/>
    <n v="0"/>
    <n v="0"/>
    <n v="0"/>
    <n v="0"/>
    <n v="0"/>
    <n v="0"/>
    <n v="2"/>
    <n v="27"/>
    <n v="35"/>
    <n v="64"/>
  </r>
  <r>
    <x v="1"/>
    <x v="662"/>
    <x v="0"/>
    <n v="0"/>
    <n v="0"/>
    <n v="0"/>
    <n v="0"/>
    <n v="0"/>
    <n v="0"/>
    <n v="84"/>
    <n v="147"/>
    <n v="90"/>
    <n v="321"/>
  </r>
  <r>
    <x v="2"/>
    <x v="663"/>
    <x v="26"/>
    <n v="11"/>
    <n v="8"/>
    <n v="2"/>
    <n v="1"/>
    <n v="0"/>
    <n v="0"/>
    <n v="0"/>
    <n v="0"/>
    <n v="0"/>
    <n v="30"/>
  </r>
  <r>
    <x v="1"/>
    <x v="664"/>
    <x v="0"/>
    <n v="0"/>
    <n v="0"/>
    <n v="0"/>
    <n v="0"/>
    <n v="0"/>
    <n v="0"/>
    <n v="0"/>
    <n v="1"/>
    <n v="1"/>
    <n v="2"/>
  </r>
  <r>
    <x v="0"/>
    <x v="665"/>
    <x v="2"/>
    <n v="0"/>
    <n v="0"/>
    <n v="0"/>
    <n v="0"/>
    <n v="0"/>
    <n v="0"/>
    <n v="0"/>
    <n v="0"/>
    <n v="0"/>
    <n v="1"/>
  </r>
  <r>
    <x v="0"/>
    <x v="666"/>
    <x v="0"/>
    <n v="0"/>
    <n v="3"/>
    <n v="0"/>
    <n v="15"/>
    <n v="1"/>
    <n v="0"/>
    <n v="0"/>
    <n v="0"/>
    <n v="0"/>
    <n v="19"/>
  </r>
  <r>
    <x v="1"/>
    <x v="667"/>
    <x v="0"/>
    <n v="0"/>
    <n v="0"/>
    <n v="0"/>
    <n v="0"/>
    <n v="0"/>
    <n v="0"/>
    <n v="0"/>
    <n v="128"/>
    <n v="154"/>
    <n v="282"/>
  </r>
  <r>
    <x v="2"/>
    <x v="668"/>
    <x v="2"/>
    <n v="0"/>
    <n v="0"/>
    <n v="0"/>
    <n v="0"/>
    <n v="0"/>
    <n v="0"/>
    <n v="0"/>
    <n v="0"/>
    <n v="0"/>
    <n v="1"/>
  </r>
  <r>
    <x v="2"/>
    <x v="669"/>
    <x v="0"/>
    <n v="0"/>
    <n v="0"/>
    <n v="0"/>
    <n v="0"/>
    <n v="10"/>
    <n v="26"/>
    <n v="60"/>
    <n v="322"/>
    <n v="316"/>
    <n v="734"/>
  </r>
  <r>
    <x v="2"/>
    <x v="670"/>
    <x v="0"/>
    <n v="0"/>
    <n v="0"/>
    <n v="0"/>
    <n v="0"/>
    <n v="0"/>
    <n v="0"/>
    <n v="94"/>
    <n v="193"/>
    <n v="112"/>
    <n v="399"/>
  </r>
  <r>
    <x v="1"/>
    <x v="671"/>
    <x v="0"/>
    <n v="0"/>
    <n v="0"/>
    <n v="0"/>
    <n v="0"/>
    <n v="57"/>
    <n v="1842"/>
    <n v="3215"/>
    <n v="195"/>
    <n v="6"/>
    <n v="5315"/>
  </r>
  <r>
    <x v="0"/>
    <x v="672"/>
    <x v="0"/>
    <n v="0"/>
    <n v="1"/>
    <n v="0"/>
    <n v="0"/>
    <n v="0"/>
    <n v="0"/>
    <n v="0"/>
    <n v="0"/>
    <n v="0"/>
    <n v="1"/>
  </r>
  <r>
    <x v="2"/>
    <x v="672"/>
    <x v="0"/>
    <n v="0"/>
    <n v="0"/>
    <n v="0"/>
    <n v="7"/>
    <n v="772"/>
    <n v="2384"/>
    <n v="3430"/>
    <n v="9520"/>
    <n v="7229"/>
    <n v="23342"/>
  </r>
  <r>
    <x v="1"/>
    <x v="673"/>
    <x v="0"/>
    <n v="0"/>
    <n v="0"/>
    <n v="0"/>
    <n v="0"/>
    <n v="0"/>
    <n v="0"/>
    <n v="0"/>
    <n v="2"/>
    <n v="2"/>
    <n v="4"/>
  </r>
  <r>
    <x v="1"/>
    <x v="674"/>
    <x v="0"/>
    <n v="0"/>
    <n v="0"/>
    <n v="0"/>
    <n v="0"/>
    <n v="0"/>
    <n v="94"/>
    <n v="0"/>
    <n v="0"/>
    <n v="0"/>
    <n v="94"/>
  </r>
  <r>
    <x v="0"/>
    <x v="675"/>
    <x v="0"/>
    <n v="0"/>
    <n v="0"/>
    <n v="0"/>
    <n v="0"/>
    <n v="0"/>
    <n v="0"/>
    <n v="0"/>
    <n v="7"/>
    <n v="10"/>
    <n v="17"/>
  </r>
  <r>
    <x v="0"/>
    <x v="676"/>
    <x v="1"/>
    <n v="681"/>
    <n v="1695"/>
    <n v="148"/>
    <n v="87"/>
    <n v="94"/>
    <n v="221"/>
    <n v="362"/>
    <n v="97"/>
    <n v="0"/>
    <n v="3391"/>
  </r>
  <r>
    <x v="1"/>
    <x v="677"/>
    <x v="0"/>
    <n v="0"/>
    <n v="0"/>
    <n v="0"/>
    <n v="0"/>
    <n v="0"/>
    <n v="0"/>
    <n v="1"/>
    <n v="0"/>
    <n v="0"/>
    <n v="1"/>
  </r>
  <r>
    <x v="0"/>
    <x v="677"/>
    <x v="0"/>
    <n v="125"/>
    <n v="599"/>
    <n v="2513"/>
    <n v="2265"/>
    <n v="1754"/>
    <n v="3447"/>
    <n v="10487"/>
    <n v="15962"/>
    <n v="7092"/>
    <n v="44244"/>
  </r>
  <r>
    <x v="2"/>
    <x v="677"/>
    <x v="0"/>
    <n v="0"/>
    <n v="0"/>
    <n v="1"/>
    <n v="0"/>
    <n v="2"/>
    <n v="0"/>
    <n v="1"/>
    <n v="1"/>
    <n v="0"/>
    <n v="5"/>
  </r>
  <r>
    <x v="1"/>
    <x v="678"/>
    <x v="0"/>
    <n v="0"/>
    <n v="0"/>
    <n v="0"/>
    <n v="0"/>
    <n v="0"/>
    <n v="0"/>
    <n v="18"/>
    <n v="102"/>
    <n v="12"/>
    <n v="132"/>
  </r>
  <r>
    <x v="0"/>
    <x v="679"/>
    <x v="0"/>
    <n v="0"/>
    <n v="1"/>
    <n v="0"/>
    <n v="0"/>
    <n v="0"/>
    <n v="0"/>
    <n v="0"/>
    <n v="0"/>
    <n v="0"/>
    <n v="1"/>
  </r>
  <r>
    <x v="0"/>
    <x v="680"/>
    <x v="0"/>
    <n v="0"/>
    <n v="0"/>
    <n v="0"/>
    <n v="0"/>
    <n v="5"/>
    <n v="35"/>
    <n v="23"/>
    <n v="70"/>
    <n v="143"/>
    <n v="276"/>
  </r>
  <r>
    <x v="2"/>
    <x v="680"/>
    <x v="0"/>
    <n v="0"/>
    <n v="0"/>
    <n v="0"/>
    <n v="0"/>
    <n v="0"/>
    <n v="0"/>
    <n v="0"/>
    <n v="0"/>
    <n v="13"/>
    <n v="13"/>
  </r>
  <r>
    <x v="1"/>
    <x v="681"/>
    <x v="0"/>
    <n v="0"/>
    <n v="0"/>
    <n v="0"/>
    <n v="0"/>
    <n v="0"/>
    <n v="0"/>
    <n v="0"/>
    <n v="19"/>
    <n v="30"/>
    <n v="49"/>
  </r>
  <r>
    <x v="0"/>
    <x v="682"/>
    <x v="0"/>
    <n v="0"/>
    <n v="0"/>
    <n v="17"/>
    <n v="56"/>
    <n v="77"/>
    <n v="39"/>
    <n v="26"/>
    <n v="43"/>
    <n v="31"/>
    <n v="289"/>
  </r>
  <r>
    <x v="0"/>
    <x v="683"/>
    <x v="0"/>
    <n v="0"/>
    <n v="0"/>
    <n v="0"/>
    <n v="0"/>
    <n v="0"/>
    <n v="0"/>
    <n v="0"/>
    <n v="0"/>
    <n v="210"/>
    <n v="210"/>
  </r>
  <r>
    <x v="0"/>
    <x v="684"/>
    <x v="0"/>
    <n v="0"/>
    <n v="0"/>
    <n v="0"/>
    <n v="0"/>
    <n v="61"/>
    <n v="68"/>
    <n v="2"/>
    <n v="77"/>
    <n v="38"/>
    <n v="246"/>
  </r>
  <r>
    <x v="0"/>
    <x v="685"/>
    <x v="0"/>
    <n v="0"/>
    <n v="3"/>
    <n v="0"/>
    <n v="0"/>
    <n v="0"/>
    <n v="0"/>
    <n v="0"/>
    <n v="0"/>
    <n v="0"/>
    <n v="3"/>
  </r>
  <r>
    <x v="0"/>
    <x v="686"/>
    <x v="0"/>
    <n v="0"/>
    <n v="0"/>
    <n v="102"/>
    <n v="33"/>
    <n v="1"/>
    <n v="0"/>
    <n v="0"/>
    <n v="0"/>
    <n v="0"/>
    <n v="136"/>
  </r>
  <r>
    <x v="2"/>
    <x v="686"/>
    <x v="0"/>
    <n v="0"/>
    <n v="0"/>
    <n v="0"/>
    <n v="1"/>
    <n v="0"/>
    <n v="0"/>
    <n v="0"/>
    <n v="0"/>
    <n v="0"/>
    <n v="1"/>
  </r>
  <r>
    <x v="2"/>
    <x v="687"/>
    <x v="0"/>
    <n v="0"/>
    <n v="0"/>
    <n v="0"/>
    <n v="0"/>
    <n v="0"/>
    <n v="0"/>
    <n v="8"/>
    <n v="0"/>
    <n v="0"/>
    <n v="8"/>
  </r>
  <r>
    <x v="1"/>
    <x v="688"/>
    <x v="0"/>
    <n v="0"/>
    <n v="0"/>
    <n v="0"/>
    <n v="0"/>
    <n v="0"/>
    <n v="0"/>
    <n v="0"/>
    <n v="0"/>
    <n v="14"/>
    <n v="14"/>
  </r>
  <r>
    <x v="0"/>
    <x v="689"/>
    <x v="0"/>
    <n v="0"/>
    <n v="0"/>
    <n v="128"/>
    <n v="132"/>
    <n v="100"/>
    <n v="111"/>
    <n v="23"/>
    <n v="0"/>
    <n v="0"/>
    <n v="494"/>
  </r>
  <r>
    <x v="0"/>
    <x v="690"/>
    <x v="0"/>
    <n v="0"/>
    <n v="0"/>
    <n v="0"/>
    <n v="0"/>
    <n v="0"/>
    <n v="0"/>
    <n v="825"/>
    <n v="2965"/>
    <n v="2297"/>
    <n v="6087"/>
  </r>
  <r>
    <x v="2"/>
    <x v="691"/>
    <x v="8"/>
    <n v="0"/>
    <n v="0"/>
    <n v="0"/>
    <n v="0"/>
    <n v="0"/>
    <n v="0"/>
    <n v="0"/>
    <n v="0"/>
    <n v="0"/>
    <n v="2"/>
  </r>
  <r>
    <x v="0"/>
    <x v="692"/>
    <x v="0"/>
    <n v="0"/>
    <n v="0"/>
    <n v="5"/>
    <n v="18"/>
    <n v="7"/>
    <n v="10"/>
    <n v="10"/>
    <n v="0"/>
    <n v="0"/>
    <n v="50"/>
  </r>
  <r>
    <x v="0"/>
    <x v="693"/>
    <x v="0"/>
    <n v="0"/>
    <n v="17"/>
    <n v="0"/>
    <n v="0"/>
    <n v="0"/>
    <n v="0"/>
    <n v="0"/>
    <n v="0"/>
    <n v="0"/>
    <n v="17"/>
  </r>
  <r>
    <x v="2"/>
    <x v="694"/>
    <x v="2"/>
    <n v="0"/>
    <n v="0"/>
    <n v="0"/>
    <n v="0"/>
    <n v="0"/>
    <n v="0"/>
    <n v="0"/>
    <n v="0"/>
    <n v="0"/>
    <n v="1"/>
  </r>
  <r>
    <x v="0"/>
    <x v="695"/>
    <x v="0"/>
    <n v="0"/>
    <n v="0"/>
    <n v="0"/>
    <n v="0"/>
    <n v="0"/>
    <n v="0"/>
    <n v="1"/>
    <n v="0"/>
    <n v="5"/>
    <n v="6"/>
  </r>
  <r>
    <x v="0"/>
    <x v="696"/>
    <x v="0"/>
    <n v="0"/>
    <n v="0"/>
    <n v="291"/>
    <n v="232"/>
    <n v="100"/>
    <n v="288"/>
    <n v="1723"/>
    <n v="4925"/>
    <n v="2796"/>
    <n v="10355"/>
  </r>
  <r>
    <x v="0"/>
    <x v="697"/>
    <x v="0"/>
    <n v="29"/>
    <n v="79"/>
    <n v="86"/>
    <n v="48"/>
    <n v="6"/>
    <n v="5"/>
    <n v="12"/>
    <n v="0"/>
    <n v="0"/>
    <n v="265"/>
  </r>
  <r>
    <x v="0"/>
    <x v="698"/>
    <x v="0"/>
    <n v="0"/>
    <n v="0"/>
    <n v="6"/>
    <n v="91"/>
    <n v="38"/>
    <n v="9"/>
    <n v="4"/>
    <n v="5"/>
    <n v="153"/>
    <n v="306"/>
  </r>
  <r>
    <x v="0"/>
    <x v="699"/>
    <x v="0"/>
    <n v="0"/>
    <n v="6"/>
    <n v="13"/>
    <n v="30"/>
    <n v="0"/>
    <n v="0"/>
    <n v="0"/>
    <n v="3"/>
    <n v="0"/>
    <n v="52"/>
  </r>
  <r>
    <x v="0"/>
    <x v="700"/>
    <x v="0"/>
    <n v="0"/>
    <n v="31"/>
    <n v="6"/>
    <n v="0"/>
    <n v="0"/>
    <n v="0"/>
    <n v="0"/>
    <n v="0"/>
    <n v="0"/>
    <n v="37"/>
  </r>
  <r>
    <x v="0"/>
    <x v="701"/>
    <x v="0"/>
    <n v="0"/>
    <n v="14"/>
    <n v="7"/>
    <n v="1"/>
    <n v="0"/>
    <n v="0"/>
    <n v="0"/>
    <n v="0"/>
    <n v="0"/>
    <n v="22"/>
  </r>
  <r>
    <x v="0"/>
    <x v="702"/>
    <x v="0"/>
    <n v="0"/>
    <n v="0"/>
    <n v="34"/>
    <n v="12"/>
    <n v="1"/>
    <n v="0"/>
    <n v="0"/>
    <n v="4"/>
    <n v="11"/>
    <n v="62"/>
  </r>
  <r>
    <x v="0"/>
    <x v="703"/>
    <x v="0"/>
    <n v="0"/>
    <n v="31"/>
    <n v="29"/>
    <n v="13"/>
    <n v="0"/>
    <n v="2"/>
    <n v="0"/>
    <n v="0"/>
    <n v="0"/>
    <n v="75"/>
  </r>
  <r>
    <x v="2"/>
    <x v="703"/>
    <x v="0"/>
    <n v="0"/>
    <n v="0"/>
    <n v="1"/>
    <n v="0"/>
    <n v="0"/>
    <n v="0"/>
    <n v="0"/>
    <n v="0"/>
    <n v="0"/>
    <n v="1"/>
  </r>
  <r>
    <x v="0"/>
    <x v="704"/>
    <x v="0"/>
    <n v="0"/>
    <n v="0"/>
    <n v="0"/>
    <n v="0"/>
    <n v="0"/>
    <n v="0"/>
    <n v="4"/>
    <n v="0"/>
    <n v="0"/>
    <n v="4"/>
  </r>
  <r>
    <x v="1"/>
    <x v="705"/>
    <x v="0"/>
    <n v="0"/>
    <n v="0"/>
    <n v="48"/>
    <n v="648"/>
    <n v="146"/>
    <n v="96"/>
    <n v="28"/>
    <n v="7"/>
    <n v="2"/>
    <n v="975"/>
  </r>
  <r>
    <x v="0"/>
    <x v="706"/>
    <x v="0"/>
    <n v="42"/>
    <n v="516"/>
    <n v="573"/>
    <n v="267"/>
    <n v="148"/>
    <n v="354"/>
    <n v="542"/>
    <n v="667"/>
    <n v="357"/>
    <n v="3466"/>
  </r>
  <r>
    <x v="2"/>
    <x v="706"/>
    <x v="0"/>
    <n v="10"/>
    <n v="17"/>
    <n v="5"/>
    <n v="0"/>
    <n v="0"/>
    <n v="0"/>
    <n v="0"/>
    <n v="0"/>
    <n v="0"/>
    <n v="32"/>
  </r>
  <r>
    <x v="0"/>
    <x v="707"/>
    <x v="0"/>
    <n v="0"/>
    <n v="0"/>
    <n v="1"/>
    <n v="0"/>
    <n v="0"/>
    <n v="0"/>
    <n v="0"/>
    <n v="0"/>
    <n v="0"/>
    <n v="1"/>
  </r>
  <r>
    <x v="0"/>
    <x v="708"/>
    <x v="0"/>
    <n v="0"/>
    <n v="0"/>
    <n v="0"/>
    <n v="0"/>
    <n v="0"/>
    <n v="0"/>
    <n v="8"/>
    <n v="42"/>
    <n v="21"/>
    <n v="71"/>
  </r>
  <r>
    <x v="0"/>
    <x v="709"/>
    <x v="0"/>
    <n v="0"/>
    <n v="0"/>
    <n v="0"/>
    <n v="0"/>
    <n v="0"/>
    <n v="0"/>
    <n v="0"/>
    <n v="45"/>
    <n v="54"/>
    <n v="99"/>
  </r>
  <r>
    <x v="0"/>
    <x v="710"/>
    <x v="32"/>
    <n v="125"/>
    <n v="224"/>
    <n v="361"/>
    <n v="732"/>
    <n v="316"/>
    <n v="602"/>
    <n v="1331"/>
    <n v="1253"/>
    <n v="502"/>
    <n v="5455"/>
  </r>
  <r>
    <x v="0"/>
    <x v="711"/>
    <x v="0"/>
    <n v="0"/>
    <n v="0"/>
    <n v="0"/>
    <n v="0"/>
    <n v="0"/>
    <n v="0"/>
    <n v="0"/>
    <n v="0"/>
    <n v="67"/>
    <n v="67"/>
  </r>
  <r>
    <x v="0"/>
    <x v="712"/>
    <x v="0"/>
    <n v="0"/>
    <n v="8"/>
    <n v="3"/>
    <n v="0"/>
    <n v="0"/>
    <n v="0"/>
    <n v="0"/>
    <n v="0"/>
    <n v="0"/>
    <n v="11"/>
  </r>
  <r>
    <x v="2"/>
    <x v="713"/>
    <x v="0"/>
    <n v="0"/>
    <n v="0"/>
    <n v="1"/>
    <n v="0"/>
    <n v="0"/>
    <n v="0"/>
    <n v="0"/>
    <n v="0"/>
    <n v="0"/>
    <n v="1"/>
  </r>
  <r>
    <x v="0"/>
    <x v="714"/>
    <x v="0"/>
    <n v="0"/>
    <n v="0"/>
    <n v="0"/>
    <n v="0"/>
    <n v="0"/>
    <n v="12"/>
    <n v="9"/>
    <n v="5"/>
    <n v="0"/>
    <n v="26"/>
  </r>
  <r>
    <x v="1"/>
    <x v="715"/>
    <x v="0"/>
    <n v="0"/>
    <n v="0"/>
    <n v="0"/>
    <n v="370"/>
    <n v="96"/>
    <n v="16"/>
    <n v="0"/>
    <n v="0"/>
    <n v="0"/>
    <n v="482"/>
  </r>
  <r>
    <x v="0"/>
    <x v="715"/>
    <x v="0"/>
    <n v="0"/>
    <n v="0"/>
    <n v="1"/>
    <n v="0"/>
    <n v="0"/>
    <n v="0"/>
    <n v="0"/>
    <n v="0"/>
    <n v="0"/>
    <n v="1"/>
  </r>
  <r>
    <x v="0"/>
    <x v="716"/>
    <x v="0"/>
    <n v="0"/>
    <n v="0"/>
    <n v="0"/>
    <n v="0"/>
    <n v="0"/>
    <n v="1"/>
    <n v="0"/>
    <n v="0"/>
    <n v="0"/>
    <n v="1"/>
  </r>
  <r>
    <x v="0"/>
    <x v="717"/>
    <x v="0"/>
    <n v="0"/>
    <n v="0"/>
    <n v="0"/>
    <n v="38"/>
    <n v="21"/>
    <n v="7"/>
    <n v="8"/>
    <n v="40"/>
    <n v="10"/>
    <n v="124"/>
  </r>
  <r>
    <x v="0"/>
    <x v="718"/>
    <x v="0"/>
    <n v="0"/>
    <n v="0"/>
    <n v="125"/>
    <n v="161"/>
    <n v="179"/>
    <n v="265"/>
    <n v="289"/>
    <n v="326"/>
    <n v="202"/>
    <n v="1547"/>
  </r>
  <r>
    <x v="0"/>
    <x v="719"/>
    <x v="0"/>
    <n v="0"/>
    <n v="0"/>
    <n v="0"/>
    <n v="15"/>
    <n v="4"/>
    <n v="1"/>
    <n v="19"/>
    <n v="19"/>
    <n v="0"/>
    <n v="58"/>
  </r>
  <r>
    <x v="1"/>
    <x v="720"/>
    <x v="0"/>
    <n v="3"/>
    <n v="6"/>
    <n v="10"/>
    <n v="0"/>
    <n v="0"/>
    <n v="0"/>
    <n v="0"/>
    <n v="0"/>
    <n v="0"/>
    <n v="19"/>
  </r>
  <r>
    <x v="0"/>
    <x v="720"/>
    <x v="33"/>
    <n v="891"/>
    <n v="2889"/>
    <n v="568"/>
    <n v="2"/>
    <n v="0"/>
    <n v="0"/>
    <n v="0"/>
    <n v="0"/>
    <n v="0"/>
    <n v="4401"/>
  </r>
  <r>
    <x v="2"/>
    <x v="720"/>
    <x v="0"/>
    <n v="3"/>
    <n v="369"/>
    <n v="0"/>
    <n v="0"/>
    <n v="0"/>
    <n v="0"/>
    <n v="0"/>
    <n v="0"/>
    <n v="0"/>
    <n v="372"/>
  </r>
  <r>
    <x v="0"/>
    <x v="721"/>
    <x v="0"/>
    <n v="0"/>
    <n v="1"/>
    <n v="0"/>
    <n v="0"/>
    <n v="0"/>
    <n v="0"/>
    <n v="0"/>
    <n v="0"/>
    <n v="0"/>
    <n v="1"/>
  </r>
  <r>
    <x v="0"/>
    <x v="722"/>
    <x v="0"/>
    <n v="1"/>
    <n v="76"/>
    <n v="205"/>
    <n v="31"/>
    <n v="7"/>
    <n v="0"/>
    <n v="0"/>
    <n v="0"/>
    <n v="0"/>
    <n v="320"/>
  </r>
  <r>
    <x v="1"/>
    <x v="723"/>
    <x v="0"/>
    <n v="0"/>
    <n v="0"/>
    <n v="0"/>
    <n v="0"/>
    <n v="0"/>
    <n v="0"/>
    <n v="0"/>
    <n v="0"/>
    <n v="28"/>
    <n v="28"/>
  </r>
  <r>
    <x v="0"/>
    <x v="724"/>
    <x v="0"/>
    <n v="0"/>
    <n v="0"/>
    <n v="1"/>
    <n v="17"/>
    <n v="11"/>
    <n v="290"/>
    <n v="569"/>
    <n v="439"/>
    <n v="138"/>
    <n v="1465"/>
  </r>
  <r>
    <x v="0"/>
    <x v="725"/>
    <x v="0"/>
    <n v="0"/>
    <n v="2"/>
    <n v="128"/>
    <n v="158"/>
    <n v="48"/>
    <n v="43"/>
    <n v="77"/>
    <n v="22"/>
    <n v="7"/>
    <n v="485"/>
  </r>
  <r>
    <x v="1"/>
    <x v="726"/>
    <x v="0"/>
    <n v="0"/>
    <n v="0"/>
    <n v="0"/>
    <n v="0"/>
    <n v="0"/>
    <n v="12"/>
    <n v="167"/>
    <n v="164"/>
    <n v="23"/>
    <n v="366"/>
  </r>
  <r>
    <x v="0"/>
    <x v="727"/>
    <x v="0"/>
    <n v="408"/>
    <n v="2"/>
    <n v="0"/>
    <n v="0"/>
    <n v="0"/>
    <n v="0"/>
    <n v="0"/>
    <n v="0"/>
    <n v="0"/>
    <n v="410"/>
  </r>
  <r>
    <x v="2"/>
    <x v="727"/>
    <x v="0"/>
    <n v="2"/>
    <n v="4"/>
    <n v="0"/>
    <n v="1"/>
    <n v="0"/>
    <n v="0"/>
    <n v="3"/>
    <n v="0"/>
    <n v="0"/>
    <n v="10"/>
  </r>
  <r>
    <x v="0"/>
    <x v="728"/>
    <x v="0"/>
    <n v="0"/>
    <n v="0"/>
    <n v="102"/>
    <n v="468"/>
    <n v="295"/>
    <n v="760"/>
    <n v="1563"/>
    <n v="2650"/>
    <n v="2110"/>
    <n v="7948"/>
  </r>
  <r>
    <x v="1"/>
    <x v="729"/>
    <x v="0"/>
    <n v="0"/>
    <n v="0"/>
    <n v="0"/>
    <n v="0"/>
    <n v="0"/>
    <n v="0"/>
    <n v="335"/>
    <n v="473"/>
    <n v="150"/>
    <n v="958"/>
  </r>
  <r>
    <x v="1"/>
    <x v="730"/>
    <x v="0"/>
    <n v="0"/>
    <n v="0"/>
    <n v="0"/>
    <n v="0"/>
    <n v="0"/>
    <n v="0"/>
    <n v="0"/>
    <n v="50"/>
    <n v="217"/>
    <n v="267"/>
  </r>
  <r>
    <x v="0"/>
    <x v="731"/>
    <x v="0"/>
    <n v="0"/>
    <n v="0"/>
    <n v="0"/>
    <n v="0"/>
    <n v="0"/>
    <n v="0"/>
    <n v="0"/>
    <n v="2"/>
    <n v="3"/>
    <n v="5"/>
  </r>
  <r>
    <x v="1"/>
    <x v="732"/>
    <x v="0"/>
    <n v="0"/>
    <n v="0"/>
    <n v="0"/>
    <n v="0"/>
    <n v="4"/>
    <n v="81"/>
    <n v="313"/>
    <n v="210"/>
    <n v="39"/>
    <n v="647"/>
  </r>
  <r>
    <x v="0"/>
    <x v="733"/>
    <x v="0"/>
    <n v="0"/>
    <n v="0"/>
    <n v="0"/>
    <n v="87"/>
    <n v="207"/>
    <n v="168"/>
    <n v="160"/>
    <n v="157"/>
    <n v="47"/>
    <n v="826"/>
  </r>
  <r>
    <x v="0"/>
    <x v="734"/>
    <x v="0"/>
    <n v="9"/>
    <n v="336"/>
    <n v="468"/>
    <n v="130"/>
    <n v="64"/>
    <n v="6"/>
    <n v="63"/>
    <n v="125"/>
    <n v="81"/>
    <n v="1282"/>
  </r>
  <r>
    <x v="2"/>
    <x v="734"/>
    <x v="0"/>
    <n v="0"/>
    <n v="0"/>
    <n v="0"/>
    <n v="7"/>
    <n v="0"/>
    <n v="0"/>
    <n v="0"/>
    <n v="0"/>
    <n v="0"/>
    <n v="7"/>
  </r>
  <r>
    <x v="1"/>
    <x v="735"/>
    <x v="0"/>
    <n v="0"/>
    <n v="0"/>
    <n v="2"/>
    <n v="0"/>
    <n v="0"/>
    <n v="0"/>
    <n v="0"/>
    <n v="0"/>
    <n v="0"/>
    <n v="2"/>
  </r>
  <r>
    <x v="1"/>
    <x v="736"/>
    <x v="0"/>
    <n v="0"/>
    <n v="0"/>
    <n v="0"/>
    <n v="0"/>
    <n v="0"/>
    <n v="0"/>
    <n v="8913"/>
    <n v="15816"/>
    <n v="4387"/>
    <n v="29116"/>
  </r>
  <r>
    <x v="1"/>
    <x v="737"/>
    <x v="0"/>
    <n v="1"/>
    <n v="331"/>
    <n v="8452"/>
    <n v="11850"/>
    <n v="5754"/>
    <n v="30659"/>
    <n v="103620"/>
    <n v="31616"/>
    <n v="3893"/>
    <n v="196176"/>
  </r>
  <r>
    <x v="0"/>
    <x v="737"/>
    <x v="0"/>
    <n v="0"/>
    <n v="0"/>
    <n v="0"/>
    <n v="0"/>
    <n v="3"/>
    <n v="0"/>
    <n v="0"/>
    <n v="1"/>
    <n v="0"/>
    <n v="4"/>
  </r>
  <r>
    <x v="2"/>
    <x v="737"/>
    <x v="0"/>
    <n v="0"/>
    <n v="0"/>
    <n v="1"/>
    <n v="1"/>
    <n v="0"/>
    <n v="0"/>
    <n v="0"/>
    <n v="0"/>
    <n v="0"/>
    <n v="2"/>
  </r>
  <r>
    <x v="1"/>
    <x v="738"/>
    <x v="0"/>
    <n v="0"/>
    <n v="0"/>
    <n v="0"/>
    <n v="0"/>
    <n v="0"/>
    <n v="240"/>
    <n v="109398"/>
    <n v="267355"/>
    <n v="211273"/>
    <n v="588266"/>
  </r>
  <r>
    <x v="2"/>
    <x v="739"/>
    <x v="0"/>
    <n v="0"/>
    <n v="0"/>
    <n v="0"/>
    <n v="0"/>
    <n v="0"/>
    <n v="1"/>
    <n v="0"/>
    <n v="0"/>
    <n v="0"/>
    <n v="1"/>
  </r>
  <r>
    <x v="3"/>
    <x v="739"/>
    <x v="0"/>
    <n v="0"/>
    <n v="0"/>
    <n v="1"/>
    <n v="11"/>
    <n v="7"/>
    <n v="0"/>
    <n v="3"/>
    <n v="12"/>
    <n v="0"/>
    <n v="34"/>
  </r>
  <r>
    <x v="0"/>
    <x v="740"/>
    <x v="0"/>
    <n v="0"/>
    <n v="0"/>
    <n v="3"/>
    <n v="51"/>
    <n v="5"/>
    <n v="10"/>
    <n v="0"/>
    <n v="0"/>
    <n v="0"/>
    <n v="69"/>
  </r>
  <r>
    <x v="3"/>
    <x v="740"/>
    <x v="0"/>
    <n v="0"/>
    <n v="0"/>
    <n v="1"/>
    <n v="0"/>
    <n v="0"/>
    <n v="0"/>
    <n v="0"/>
    <n v="0"/>
    <n v="0"/>
    <n v="1"/>
  </r>
  <r>
    <x v="1"/>
    <x v="741"/>
    <x v="0"/>
    <n v="0"/>
    <n v="0"/>
    <n v="0"/>
    <n v="0"/>
    <n v="0"/>
    <n v="1"/>
    <n v="0"/>
    <n v="0"/>
    <n v="0"/>
    <n v="1"/>
  </r>
  <r>
    <x v="0"/>
    <x v="741"/>
    <x v="0"/>
    <n v="389"/>
    <n v="1079"/>
    <n v="1701"/>
    <n v="1610"/>
    <n v="672"/>
    <n v="1448"/>
    <n v="2930"/>
    <n v="3304"/>
    <n v="1461"/>
    <n v="14594"/>
  </r>
  <r>
    <x v="0"/>
    <x v="742"/>
    <x v="0"/>
    <n v="340"/>
    <n v="241"/>
    <n v="145"/>
    <n v="83"/>
    <n v="54"/>
    <n v="24"/>
    <n v="16"/>
    <n v="9"/>
    <n v="0"/>
    <n v="912"/>
  </r>
  <r>
    <x v="0"/>
    <x v="743"/>
    <x v="0"/>
    <n v="0"/>
    <n v="0"/>
    <n v="35"/>
    <n v="12"/>
    <n v="1"/>
    <n v="0"/>
    <n v="0"/>
    <n v="44"/>
    <n v="768"/>
    <n v="860"/>
  </r>
  <r>
    <x v="0"/>
    <x v="744"/>
    <x v="0"/>
    <n v="0"/>
    <n v="0"/>
    <n v="4"/>
    <n v="29"/>
    <n v="13"/>
    <n v="6"/>
    <n v="15"/>
    <n v="0"/>
    <n v="0"/>
    <n v="67"/>
  </r>
  <r>
    <x v="0"/>
    <x v="745"/>
    <x v="0"/>
    <n v="0"/>
    <n v="0"/>
    <n v="27"/>
    <n v="388"/>
    <n v="345"/>
    <n v="795"/>
    <n v="1167"/>
    <n v="1203"/>
    <n v="550"/>
    <n v="4475"/>
  </r>
  <r>
    <x v="0"/>
    <x v="746"/>
    <x v="0"/>
    <n v="0"/>
    <n v="0"/>
    <n v="0"/>
    <n v="5"/>
    <n v="3"/>
    <n v="4"/>
    <n v="1"/>
    <n v="0"/>
    <n v="0"/>
    <n v="13"/>
  </r>
  <r>
    <x v="0"/>
    <x v="747"/>
    <x v="0"/>
    <n v="0"/>
    <n v="0"/>
    <n v="0"/>
    <n v="0"/>
    <n v="3"/>
    <n v="12"/>
    <n v="102"/>
    <n v="283"/>
    <n v="188"/>
    <n v="588"/>
  </r>
  <r>
    <x v="0"/>
    <x v="748"/>
    <x v="0"/>
    <n v="0"/>
    <n v="0"/>
    <n v="0"/>
    <n v="0"/>
    <n v="0"/>
    <n v="317"/>
    <n v="2785"/>
    <n v="3579"/>
    <n v="4592"/>
    <n v="11273"/>
  </r>
  <r>
    <x v="2"/>
    <x v="748"/>
    <x v="0"/>
    <n v="0"/>
    <n v="0"/>
    <n v="0"/>
    <n v="0"/>
    <n v="0"/>
    <n v="32"/>
    <n v="146"/>
    <n v="102"/>
    <n v="61"/>
    <n v="341"/>
  </r>
  <r>
    <x v="1"/>
    <x v="749"/>
    <x v="0"/>
    <n v="0"/>
    <n v="0"/>
    <n v="0"/>
    <n v="0"/>
    <n v="0"/>
    <n v="0"/>
    <n v="172"/>
    <n v="67"/>
    <n v="13"/>
    <n v="252"/>
  </r>
  <r>
    <x v="1"/>
    <x v="750"/>
    <x v="0"/>
    <n v="0"/>
    <n v="0"/>
    <n v="1"/>
    <n v="0"/>
    <n v="0"/>
    <n v="0"/>
    <n v="0"/>
    <n v="0"/>
    <n v="0"/>
    <n v="1"/>
  </r>
  <r>
    <x v="0"/>
    <x v="750"/>
    <x v="0"/>
    <n v="0"/>
    <n v="15"/>
    <n v="22"/>
    <n v="0"/>
    <n v="0"/>
    <n v="0"/>
    <n v="0"/>
    <n v="0"/>
    <n v="0"/>
    <n v="37"/>
  </r>
  <r>
    <x v="1"/>
    <x v="751"/>
    <x v="34"/>
    <n v="136"/>
    <n v="382"/>
    <n v="1929"/>
    <n v="1576"/>
    <n v="933"/>
    <n v="8541"/>
    <n v="15099"/>
    <n v="195"/>
    <n v="4"/>
    <n v="28905"/>
  </r>
  <r>
    <x v="0"/>
    <x v="751"/>
    <x v="35"/>
    <n v="13401"/>
    <n v="15094"/>
    <n v="1687"/>
    <n v="312"/>
    <n v="199"/>
    <n v="777"/>
    <n v="2165"/>
    <n v="1435"/>
    <n v="174"/>
    <n v="36952"/>
  </r>
  <r>
    <x v="2"/>
    <x v="751"/>
    <x v="36"/>
    <n v="66"/>
    <n v="581"/>
    <n v="560"/>
    <n v="269"/>
    <n v="13"/>
    <n v="162"/>
    <n v="431"/>
    <n v="40"/>
    <n v="84"/>
    <n v="2246"/>
  </r>
  <r>
    <x v="3"/>
    <x v="751"/>
    <x v="0"/>
    <n v="1"/>
    <n v="0"/>
    <n v="2"/>
    <n v="0"/>
    <n v="0"/>
    <n v="0"/>
    <n v="0"/>
    <n v="1"/>
    <n v="1"/>
    <n v="5"/>
  </r>
  <r>
    <x v="1"/>
    <x v="752"/>
    <x v="0"/>
    <n v="0"/>
    <n v="0"/>
    <n v="0"/>
    <n v="0"/>
    <n v="0"/>
    <n v="0"/>
    <n v="93"/>
    <n v="351"/>
    <n v="56"/>
    <n v="500"/>
  </r>
  <r>
    <x v="0"/>
    <x v="753"/>
    <x v="0"/>
    <n v="0"/>
    <n v="4"/>
    <n v="19"/>
    <n v="13"/>
    <n v="2"/>
    <n v="21"/>
    <n v="23"/>
    <n v="11"/>
    <n v="0"/>
    <n v="93"/>
  </r>
  <r>
    <x v="0"/>
    <x v="754"/>
    <x v="0"/>
    <n v="0"/>
    <n v="11"/>
    <n v="138"/>
    <n v="234"/>
    <n v="115"/>
    <n v="66"/>
    <n v="46"/>
    <n v="41"/>
    <n v="11"/>
    <n v="662"/>
  </r>
  <r>
    <x v="2"/>
    <x v="754"/>
    <x v="0"/>
    <n v="0"/>
    <n v="0"/>
    <n v="1"/>
    <n v="0"/>
    <n v="0"/>
    <n v="0"/>
    <n v="0"/>
    <n v="0"/>
    <n v="0"/>
    <n v="1"/>
  </r>
  <r>
    <x v="0"/>
    <x v="755"/>
    <x v="0"/>
    <n v="0"/>
    <n v="29"/>
    <n v="44"/>
    <n v="3"/>
    <n v="0"/>
    <n v="0"/>
    <n v="0"/>
    <n v="0"/>
    <n v="0"/>
    <n v="76"/>
  </r>
  <r>
    <x v="0"/>
    <x v="756"/>
    <x v="0"/>
    <n v="0"/>
    <n v="1"/>
    <n v="0"/>
    <n v="0"/>
    <n v="0"/>
    <n v="0"/>
    <n v="0"/>
    <n v="0"/>
    <n v="0"/>
    <n v="1"/>
  </r>
  <r>
    <x v="0"/>
    <x v="757"/>
    <x v="0"/>
    <n v="0"/>
    <n v="0"/>
    <n v="0"/>
    <n v="41"/>
    <n v="57"/>
    <n v="47"/>
    <n v="0"/>
    <n v="0"/>
    <n v="0"/>
    <n v="145"/>
  </r>
  <r>
    <x v="0"/>
    <x v="758"/>
    <x v="0"/>
    <n v="0"/>
    <n v="0"/>
    <n v="0"/>
    <n v="0"/>
    <n v="2"/>
    <n v="33"/>
    <n v="66"/>
    <n v="77"/>
    <n v="23"/>
    <n v="201"/>
  </r>
  <r>
    <x v="0"/>
    <x v="759"/>
    <x v="0"/>
    <n v="0"/>
    <n v="2"/>
    <n v="0"/>
    <n v="0"/>
    <n v="0"/>
    <n v="0"/>
    <n v="0"/>
    <n v="0"/>
    <n v="0"/>
    <n v="2"/>
  </r>
  <r>
    <x v="0"/>
    <x v="760"/>
    <x v="0"/>
    <n v="0"/>
    <n v="1"/>
    <n v="0"/>
    <n v="0"/>
    <n v="6"/>
    <n v="317"/>
    <n v="1120"/>
    <n v="3246"/>
    <n v="1822"/>
    <n v="6512"/>
  </r>
  <r>
    <x v="2"/>
    <x v="760"/>
    <x v="0"/>
    <n v="0"/>
    <n v="0"/>
    <n v="0"/>
    <n v="0"/>
    <n v="0"/>
    <n v="0"/>
    <n v="0"/>
    <n v="1"/>
    <n v="0"/>
    <n v="1"/>
  </r>
  <r>
    <x v="0"/>
    <x v="761"/>
    <x v="0"/>
    <n v="6"/>
    <n v="62"/>
    <n v="210"/>
    <n v="246"/>
    <n v="156"/>
    <n v="160"/>
    <n v="484"/>
    <n v="572"/>
    <n v="265"/>
    <n v="2161"/>
  </r>
  <r>
    <x v="0"/>
    <x v="762"/>
    <x v="0"/>
    <n v="0"/>
    <n v="0"/>
    <n v="219"/>
    <n v="286"/>
    <n v="138"/>
    <n v="301"/>
    <n v="706"/>
    <n v="904"/>
    <n v="514"/>
    <n v="3068"/>
  </r>
  <r>
    <x v="0"/>
    <x v="763"/>
    <x v="0"/>
    <n v="0"/>
    <n v="0"/>
    <n v="0"/>
    <n v="285"/>
    <n v="63"/>
    <n v="181"/>
    <n v="1"/>
    <n v="65"/>
    <n v="24"/>
    <n v="619"/>
  </r>
  <r>
    <x v="0"/>
    <x v="764"/>
    <x v="0"/>
    <n v="0"/>
    <n v="1"/>
    <n v="14"/>
    <n v="12"/>
    <n v="2"/>
    <n v="0"/>
    <n v="0"/>
    <n v="0"/>
    <n v="0"/>
    <n v="29"/>
  </r>
  <r>
    <x v="0"/>
    <x v="765"/>
    <x v="0"/>
    <n v="1"/>
    <n v="2"/>
    <n v="3"/>
    <n v="20"/>
    <n v="1"/>
    <n v="0"/>
    <n v="0"/>
    <n v="0"/>
    <n v="0"/>
    <n v="27"/>
  </r>
  <r>
    <x v="0"/>
    <x v="766"/>
    <x v="0"/>
    <n v="0"/>
    <n v="13"/>
    <n v="17"/>
    <n v="29"/>
    <n v="15"/>
    <n v="2"/>
    <n v="1"/>
    <n v="0"/>
    <n v="0"/>
    <n v="77"/>
  </r>
  <r>
    <x v="0"/>
    <x v="767"/>
    <x v="0"/>
    <n v="1"/>
    <n v="18"/>
    <n v="9"/>
    <n v="44"/>
    <n v="59"/>
    <n v="28"/>
    <n v="24"/>
    <n v="21"/>
    <n v="6"/>
    <n v="210"/>
  </r>
  <r>
    <x v="2"/>
    <x v="768"/>
    <x v="0"/>
    <n v="0"/>
    <n v="0"/>
    <n v="0"/>
    <n v="0"/>
    <n v="0"/>
    <n v="0"/>
    <n v="0"/>
    <n v="1950"/>
    <n v="916"/>
    <n v="2866"/>
  </r>
  <r>
    <x v="1"/>
    <x v="769"/>
    <x v="14"/>
    <n v="7"/>
    <n v="4"/>
    <n v="0"/>
    <n v="0"/>
    <n v="0"/>
    <n v="0"/>
    <n v="0"/>
    <n v="0"/>
    <n v="0"/>
    <n v="14"/>
  </r>
  <r>
    <x v="0"/>
    <x v="769"/>
    <x v="28"/>
    <n v="4"/>
    <n v="3"/>
    <n v="11"/>
    <n v="1"/>
    <n v="79"/>
    <n v="2247"/>
    <n v="7431"/>
    <n v="21079"/>
    <n v="12869"/>
    <n v="43729"/>
  </r>
  <r>
    <x v="2"/>
    <x v="769"/>
    <x v="0"/>
    <n v="0"/>
    <n v="0"/>
    <n v="0"/>
    <n v="0"/>
    <n v="0"/>
    <n v="19"/>
    <n v="3"/>
    <n v="10"/>
    <n v="8"/>
    <n v="40"/>
  </r>
  <r>
    <x v="0"/>
    <x v="770"/>
    <x v="0"/>
    <n v="0"/>
    <n v="0"/>
    <n v="0"/>
    <n v="0"/>
    <n v="0"/>
    <n v="1"/>
    <n v="0"/>
    <n v="0"/>
    <n v="0"/>
    <n v="1"/>
  </r>
  <r>
    <x v="2"/>
    <x v="771"/>
    <x v="0"/>
    <n v="0"/>
    <n v="0"/>
    <n v="0"/>
    <n v="0"/>
    <n v="0"/>
    <n v="0"/>
    <n v="0"/>
    <n v="22"/>
    <n v="27"/>
    <n v="49"/>
  </r>
  <r>
    <x v="0"/>
    <x v="772"/>
    <x v="0"/>
    <n v="0"/>
    <n v="271"/>
    <n v="503"/>
    <n v="504"/>
    <n v="255"/>
    <n v="206"/>
    <n v="34"/>
    <n v="18"/>
    <n v="360"/>
    <n v="2151"/>
  </r>
  <r>
    <x v="2"/>
    <x v="773"/>
    <x v="0"/>
    <n v="0"/>
    <n v="0"/>
    <n v="0"/>
    <n v="1"/>
    <n v="0"/>
    <n v="0"/>
    <n v="0"/>
    <n v="0"/>
    <n v="0"/>
    <n v="1"/>
  </r>
  <r>
    <x v="3"/>
    <x v="773"/>
    <x v="0"/>
    <n v="0"/>
    <n v="0"/>
    <n v="0"/>
    <n v="0"/>
    <n v="2"/>
    <n v="1"/>
    <n v="0"/>
    <n v="0"/>
    <n v="5"/>
    <n v="8"/>
  </r>
  <r>
    <x v="2"/>
    <x v="774"/>
    <x v="2"/>
    <n v="0"/>
    <n v="2"/>
    <n v="0"/>
    <n v="0"/>
    <n v="0"/>
    <n v="0"/>
    <n v="0"/>
    <n v="0"/>
    <n v="0"/>
    <n v="3"/>
  </r>
  <r>
    <x v="0"/>
    <x v="775"/>
    <x v="0"/>
    <n v="0"/>
    <n v="0"/>
    <n v="0"/>
    <n v="0"/>
    <n v="0"/>
    <n v="2"/>
    <n v="1"/>
    <n v="65"/>
    <n v="249"/>
    <n v="317"/>
  </r>
  <r>
    <x v="1"/>
    <x v="776"/>
    <x v="0"/>
    <n v="0"/>
    <n v="0"/>
    <n v="0"/>
    <n v="0"/>
    <n v="0"/>
    <n v="0"/>
    <n v="23"/>
    <n v="214"/>
    <n v="89"/>
    <n v="326"/>
  </r>
  <r>
    <x v="0"/>
    <x v="777"/>
    <x v="0"/>
    <n v="0"/>
    <n v="1"/>
    <n v="0"/>
    <n v="0"/>
    <n v="0"/>
    <n v="0"/>
    <n v="0"/>
    <n v="0"/>
    <n v="0"/>
    <n v="1"/>
  </r>
  <r>
    <x v="2"/>
    <x v="778"/>
    <x v="0"/>
    <n v="0"/>
    <n v="0"/>
    <n v="0"/>
    <n v="0"/>
    <n v="0"/>
    <n v="0"/>
    <n v="60"/>
    <n v="96"/>
    <n v="54"/>
    <n v="210"/>
  </r>
  <r>
    <x v="1"/>
    <x v="779"/>
    <x v="0"/>
    <n v="0"/>
    <n v="0"/>
    <n v="0"/>
    <n v="0"/>
    <n v="0"/>
    <n v="0"/>
    <n v="0"/>
    <n v="0"/>
    <n v="5"/>
    <n v="5"/>
  </r>
  <r>
    <x v="2"/>
    <x v="780"/>
    <x v="0"/>
    <n v="0"/>
    <n v="0"/>
    <n v="0"/>
    <n v="0"/>
    <n v="0"/>
    <n v="0"/>
    <n v="0"/>
    <n v="0"/>
    <n v="9"/>
    <n v="9"/>
  </r>
  <r>
    <x v="0"/>
    <x v="781"/>
    <x v="0"/>
    <n v="0"/>
    <n v="0"/>
    <n v="35"/>
    <n v="23"/>
    <n v="15"/>
    <n v="30"/>
    <n v="40"/>
    <n v="101"/>
    <n v="30"/>
    <n v="274"/>
  </r>
  <r>
    <x v="0"/>
    <x v="782"/>
    <x v="0"/>
    <n v="0"/>
    <n v="0"/>
    <n v="0"/>
    <n v="0"/>
    <n v="0"/>
    <n v="0"/>
    <n v="6"/>
    <n v="8"/>
    <n v="9"/>
    <n v="23"/>
  </r>
  <r>
    <x v="0"/>
    <x v="783"/>
    <x v="0"/>
    <n v="0"/>
    <n v="0"/>
    <n v="5"/>
    <n v="0"/>
    <n v="10"/>
    <n v="2"/>
    <n v="47"/>
    <n v="206"/>
    <n v="94"/>
    <n v="364"/>
  </r>
  <r>
    <x v="0"/>
    <x v="784"/>
    <x v="0"/>
    <n v="0"/>
    <n v="0"/>
    <n v="0"/>
    <n v="0"/>
    <n v="0"/>
    <n v="0"/>
    <n v="0"/>
    <n v="33"/>
    <n v="79"/>
    <n v="112"/>
  </r>
  <r>
    <x v="0"/>
    <x v="785"/>
    <x v="0"/>
    <n v="0"/>
    <n v="1"/>
    <n v="0"/>
    <n v="0"/>
    <n v="0"/>
    <n v="0"/>
    <n v="0"/>
    <n v="0"/>
    <n v="0"/>
    <n v="1"/>
  </r>
  <r>
    <x v="0"/>
    <x v="786"/>
    <x v="0"/>
    <n v="0"/>
    <n v="0"/>
    <n v="0"/>
    <n v="0"/>
    <n v="0"/>
    <n v="0"/>
    <n v="0"/>
    <n v="13"/>
    <n v="99"/>
    <n v="112"/>
  </r>
  <r>
    <x v="0"/>
    <x v="787"/>
    <x v="0"/>
    <n v="0"/>
    <n v="0"/>
    <n v="2"/>
    <n v="19"/>
    <n v="30"/>
    <n v="48"/>
    <n v="46"/>
    <n v="65"/>
    <n v="65"/>
    <n v="275"/>
  </r>
  <r>
    <x v="0"/>
    <x v="788"/>
    <x v="0"/>
    <n v="0"/>
    <n v="10"/>
    <n v="0"/>
    <n v="0"/>
    <n v="0"/>
    <n v="0"/>
    <n v="0"/>
    <n v="0"/>
    <n v="0"/>
    <n v="10"/>
  </r>
  <r>
    <x v="0"/>
    <x v="789"/>
    <x v="0"/>
    <n v="0"/>
    <n v="1"/>
    <n v="0"/>
    <n v="0"/>
    <n v="0"/>
    <n v="0"/>
    <n v="0"/>
    <n v="0"/>
    <n v="0"/>
    <n v="1"/>
  </r>
  <r>
    <x v="0"/>
    <x v="790"/>
    <x v="0"/>
    <n v="0"/>
    <n v="18"/>
    <n v="23"/>
    <n v="9"/>
    <n v="13"/>
    <n v="21"/>
    <n v="0"/>
    <n v="6"/>
    <n v="11"/>
    <n v="101"/>
  </r>
  <r>
    <x v="0"/>
    <x v="791"/>
    <x v="0"/>
    <n v="0"/>
    <n v="0"/>
    <n v="0"/>
    <n v="0"/>
    <n v="0"/>
    <n v="16"/>
    <n v="321"/>
    <n v="500"/>
    <n v="220"/>
    <n v="1057"/>
  </r>
  <r>
    <x v="0"/>
    <x v="792"/>
    <x v="0"/>
    <n v="0"/>
    <n v="0"/>
    <n v="0"/>
    <n v="2"/>
    <n v="0"/>
    <n v="0"/>
    <n v="0"/>
    <n v="0"/>
    <n v="0"/>
    <n v="2"/>
  </r>
  <r>
    <x v="0"/>
    <x v="793"/>
    <x v="0"/>
    <n v="0"/>
    <n v="0"/>
    <n v="0"/>
    <n v="0"/>
    <n v="0"/>
    <n v="0"/>
    <n v="0"/>
    <n v="40"/>
    <n v="99"/>
    <n v="139"/>
  </r>
  <r>
    <x v="0"/>
    <x v="794"/>
    <x v="0"/>
    <n v="0"/>
    <n v="38"/>
    <n v="1013"/>
    <n v="2606"/>
    <n v="1354"/>
    <n v="457"/>
    <n v="120"/>
    <n v="16"/>
    <n v="12"/>
    <n v="5616"/>
  </r>
  <r>
    <x v="0"/>
    <x v="795"/>
    <x v="0"/>
    <n v="0"/>
    <n v="0"/>
    <n v="0"/>
    <n v="0"/>
    <n v="5"/>
    <n v="13"/>
    <n v="15"/>
    <n v="0"/>
    <n v="0"/>
    <n v="33"/>
  </r>
  <r>
    <x v="0"/>
    <x v="796"/>
    <x v="0"/>
    <n v="0"/>
    <n v="0"/>
    <n v="0"/>
    <n v="0"/>
    <n v="0"/>
    <n v="0"/>
    <n v="0"/>
    <n v="22"/>
    <n v="37"/>
    <n v="59"/>
  </r>
  <r>
    <x v="2"/>
    <x v="797"/>
    <x v="0"/>
    <n v="1"/>
    <n v="0"/>
    <n v="0"/>
    <n v="0"/>
    <n v="0"/>
    <n v="0"/>
    <n v="0"/>
    <n v="0"/>
    <n v="0"/>
    <n v="1"/>
  </r>
  <r>
    <x v="1"/>
    <x v="798"/>
    <x v="0"/>
    <n v="0"/>
    <n v="0"/>
    <n v="0"/>
    <n v="0"/>
    <n v="720"/>
    <n v="11044"/>
    <n v="14953"/>
    <n v="7191"/>
    <n v="3143"/>
    <n v="37051"/>
  </r>
  <r>
    <x v="0"/>
    <x v="799"/>
    <x v="0"/>
    <n v="0"/>
    <n v="0"/>
    <n v="0"/>
    <n v="1"/>
    <n v="0"/>
    <n v="13"/>
    <n v="35"/>
    <n v="23"/>
    <n v="8"/>
    <n v="80"/>
  </r>
  <r>
    <x v="0"/>
    <x v="800"/>
    <x v="0"/>
    <n v="0"/>
    <n v="1"/>
    <n v="0"/>
    <n v="0"/>
    <n v="0"/>
    <n v="0"/>
    <n v="0"/>
    <n v="0"/>
    <n v="0"/>
    <n v="1"/>
  </r>
  <r>
    <x v="0"/>
    <x v="801"/>
    <x v="0"/>
    <n v="0"/>
    <n v="0"/>
    <n v="0"/>
    <n v="14"/>
    <n v="23"/>
    <n v="45"/>
    <n v="125"/>
    <n v="338"/>
    <n v="462"/>
    <n v="1007"/>
  </r>
  <r>
    <x v="1"/>
    <x v="802"/>
    <x v="0"/>
    <n v="0"/>
    <n v="0"/>
    <n v="0"/>
    <n v="0"/>
    <n v="0"/>
    <n v="0"/>
    <n v="0"/>
    <n v="81"/>
    <n v="28"/>
    <n v="109"/>
  </r>
  <r>
    <x v="1"/>
    <x v="803"/>
    <x v="0"/>
    <n v="0"/>
    <n v="0"/>
    <n v="0"/>
    <n v="0"/>
    <n v="0"/>
    <n v="0"/>
    <n v="0"/>
    <n v="10"/>
    <n v="21"/>
    <n v="31"/>
  </r>
  <r>
    <x v="1"/>
    <x v="804"/>
    <x v="0"/>
    <n v="0"/>
    <n v="0"/>
    <n v="0"/>
    <n v="0"/>
    <n v="0"/>
    <n v="0"/>
    <n v="25"/>
    <n v="2371"/>
    <n v="3178"/>
    <n v="5574"/>
  </r>
  <r>
    <x v="2"/>
    <x v="804"/>
    <x v="0"/>
    <n v="0"/>
    <n v="0"/>
    <n v="0"/>
    <n v="0"/>
    <n v="0"/>
    <n v="0"/>
    <n v="0"/>
    <n v="2"/>
    <n v="0"/>
    <n v="2"/>
  </r>
  <r>
    <x v="2"/>
    <x v="805"/>
    <x v="2"/>
    <n v="0"/>
    <n v="0"/>
    <n v="0"/>
    <n v="0"/>
    <n v="0"/>
    <n v="0"/>
    <n v="0"/>
    <n v="0"/>
    <n v="0"/>
    <n v="1"/>
  </r>
  <r>
    <x v="0"/>
    <x v="806"/>
    <x v="0"/>
    <n v="0"/>
    <n v="0"/>
    <n v="0"/>
    <n v="77"/>
    <n v="229"/>
    <n v="96"/>
    <n v="170"/>
    <n v="501"/>
    <n v="276"/>
    <n v="1349"/>
  </r>
  <r>
    <x v="0"/>
    <x v="807"/>
    <x v="0"/>
    <n v="0"/>
    <n v="1"/>
    <n v="0"/>
    <n v="0"/>
    <n v="0"/>
    <n v="0"/>
    <n v="0"/>
    <n v="0"/>
    <n v="0"/>
    <n v="1"/>
  </r>
  <r>
    <x v="0"/>
    <x v="808"/>
    <x v="0"/>
    <n v="0"/>
    <n v="0"/>
    <n v="0"/>
    <n v="0"/>
    <n v="7"/>
    <n v="35"/>
    <n v="20"/>
    <n v="18"/>
    <n v="9"/>
    <n v="89"/>
  </r>
  <r>
    <x v="0"/>
    <x v="809"/>
    <x v="0"/>
    <n v="0"/>
    <n v="0"/>
    <n v="0"/>
    <n v="0"/>
    <n v="0"/>
    <n v="0"/>
    <n v="0"/>
    <n v="0"/>
    <n v="10"/>
    <n v="10"/>
  </r>
  <r>
    <x v="0"/>
    <x v="810"/>
    <x v="0"/>
    <n v="0"/>
    <n v="0"/>
    <n v="0"/>
    <n v="0"/>
    <n v="0"/>
    <n v="0"/>
    <n v="0"/>
    <n v="0"/>
    <n v="12"/>
    <n v="12"/>
  </r>
  <r>
    <x v="0"/>
    <x v="811"/>
    <x v="0"/>
    <n v="0"/>
    <n v="77"/>
    <n v="90"/>
    <n v="140"/>
    <n v="77"/>
    <n v="18"/>
    <n v="37"/>
    <n v="124"/>
    <n v="42"/>
    <n v="605"/>
  </r>
  <r>
    <x v="1"/>
    <x v="812"/>
    <x v="0"/>
    <n v="0"/>
    <n v="0"/>
    <n v="0"/>
    <n v="1"/>
    <n v="0"/>
    <n v="0"/>
    <n v="0"/>
    <n v="0"/>
    <n v="0"/>
    <n v="1"/>
  </r>
  <r>
    <x v="0"/>
    <x v="812"/>
    <x v="0"/>
    <n v="0"/>
    <n v="9"/>
    <n v="18"/>
    <n v="11"/>
    <n v="22"/>
    <n v="26"/>
    <n v="101"/>
    <n v="99"/>
    <n v="52"/>
    <n v="338"/>
  </r>
  <r>
    <x v="0"/>
    <x v="813"/>
    <x v="0"/>
    <n v="0"/>
    <n v="0"/>
    <n v="0"/>
    <n v="0"/>
    <n v="0"/>
    <n v="0"/>
    <n v="0"/>
    <n v="1"/>
    <n v="0"/>
    <n v="1"/>
  </r>
  <r>
    <x v="0"/>
    <x v="814"/>
    <x v="0"/>
    <n v="0"/>
    <n v="18"/>
    <n v="148"/>
    <n v="135"/>
    <n v="57"/>
    <n v="32"/>
    <n v="30"/>
    <n v="8"/>
    <n v="2"/>
    <n v="430"/>
  </r>
  <r>
    <x v="2"/>
    <x v="814"/>
    <x v="0"/>
    <n v="0"/>
    <n v="0"/>
    <n v="1"/>
    <n v="0"/>
    <n v="0"/>
    <n v="0"/>
    <n v="0"/>
    <n v="0"/>
    <n v="0"/>
    <n v="1"/>
  </r>
  <r>
    <x v="0"/>
    <x v="815"/>
    <x v="0"/>
    <n v="0"/>
    <n v="1"/>
    <n v="46"/>
    <n v="28"/>
    <n v="35"/>
    <n v="17"/>
    <n v="0"/>
    <n v="0"/>
    <n v="0"/>
    <n v="127"/>
  </r>
  <r>
    <x v="0"/>
    <x v="816"/>
    <x v="0"/>
    <n v="0"/>
    <n v="1"/>
    <n v="0"/>
    <n v="0"/>
    <n v="0"/>
    <n v="0"/>
    <n v="0"/>
    <n v="0"/>
    <n v="0"/>
    <n v="1"/>
  </r>
  <r>
    <x v="0"/>
    <x v="817"/>
    <x v="0"/>
    <n v="0"/>
    <n v="4"/>
    <n v="0"/>
    <n v="0"/>
    <n v="0"/>
    <n v="0"/>
    <n v="0"/>
    <n v="0"/>
    <n v="0"/>
    <n v="4"/>
  </r>
  <r>
    <x v="0"/>
    <x v="818"/>
    <x v="0"/>
    <n v="0"/>
    <n v="0"/>
    <n v="0"/>
    <n v="0"/>
    <n v="0"/>
    <n v="0"/>
    <n v="0"/>
    <n v="4"/>
    <n v="18"/>
    <n v="22"/>
  </r>
  <r>
    <x v="0"/>
    <x v="819"/>
    <x v="0"/>
    <n v="0"/>
    <n v="0"/>
    <n v="133"/>
    <n v="238"/>
    <n v="63"/>
    <n v="54"/>
    <n v="71"/>
    <n v="114"/>
    <n v="45"/>
    <n v="718"/>
  </r>
  <r>
    <x v="0"/>
    <x v="820"/>
    <x v="0"/>
    <n v="0"/>
    <n v="0"/>
    <n v="0"/>
    <n v="0"/>
    <n v="0"/>
    <n v="5"/>
    <n v="35"/>
    <n v="575"/>
    <n v="564"/>
    <n v="1179"/>
  </r>
  <r>
    <x v="0"/>
    <x v="821"/>
    <x v="0"/>
    <n v="0"/>
    <n v="6"/>
    <n v="0"/>
    <n v="0"/>
    <n v="0"/>
    <n v="0"/>
    <n v="0"/>
    <n v="0"/>
    <n v="0"/>
    <n v="6"/>
  </r>
  <r>
    <x v="0"/>
    <x v="822"/>
    <x v="0"/>
    <n v="0"/>
    <n v="13"/>
    <n v="129"/>
    <n v="58"/>
    <n v="10"/>
    <n v="10"/>
    <n v="47"/>
    <n v="152"/>
    <n v="150"/>
    <n v="569"/>
  </r>
  <r>
    <x v="0"/>
    <x v="823"/>
    <x v="0"/>
    <n v="0"/>
    <n v="12"/>
    <n v="2"/>
    <n v="0"/>
    <n v="0"/>
    <n v="0"/>
    <n v="0"/>
    <n v="0"/>
    <n v="0"/>
    <n v="14"/>
  </r>
  <r>
    <x v="0"/>
    <x v="824"/>
    <x v="0"/>
    <n v="0"/>
    <n v="60"/>
    <n v="22"/>
    <n v="19"/>
    <n v="2"/>
    <n v="1"/>
    <n v="10"/>
    <n v="2"/>
    <n v="4"/>
    <n v="120"/>
  </r>
  <r>
    <x v="2"/>
    <x v="825"/>
    <x v="8"/>
    <n v="1"/>
    <n v="0"/>
    <n v="0"/>
    <n v="0"/>
    <n v="0"/>
    <n v="0"/>
    <n v="0"/>
    <n v="0"/>
    <n v="0"/>
    <n v="3"/>
  </r>
  <r>
    <x v="0"/>
    <x v="826"/>
    <x v="0"/>
    <n v="0"/>
    <n v="0"/>
    <n v="0"/>
    <n v="0"/>
    <n v="0"/>
    <n v="0"/>
    <n v="0"/>
    <n v="20"/>
    <n v="452"/>
    <n v="472"/>
  </r>
  <r>
    <x v="0"/>
    <x v="827"/>
    <x v="0"/>
    <n v="0"/>
    <n v="67"/>
    <n v="135"/>
    <n v="50"/>
    <n v="4"/>
    <n v="27"/>
    <n v="333"/>
    <n v="1176"/>
    <n v="990"/>
    <n v="2782"/>
  </r>
  <r>
    <x v="0"/>
    <x v="828"/>
    <x v="0"/>
    <n v="0"/>
    <n v="0"/>
    <n v="0"/>
    <n v="0"/>
    <n v="1"/>
    <n v="54"/>
    <n v="281"/>
    <n v="609"/>
    <n v="530"/>
    <n v="1475"/>
  </r>
  <r>
    <x v="0"/>
    <x v="829"/>
    <x v="0"/>
    <n v="0"/>
    <n v="0"/>
    <n v="0"/>
    <n v="0"/>
    <n v="3"/>
    <n v="3"/>
    <n v="9"/>
    <n v="1"/>
    <n v="0"/>
    <n v="16"/>
  </r>
  <r>
    <x v="0"/>
    <x v="830"/>
    <x v="0"/>
    <n v="0"/>
    <n v="0"/>
    <n v="0"/>
    <n v="0"/>
    <n v="0"/>
    <n v="0"/>
    <n v="0"/>
    <n v="0"/>
    <n v="110"/>
    <n v="110"/>
  </r>
  <r>
    <x v="0"/>
    <x v="831"/>
    <x v="0"/>
    <n v="0"/>
    <n v="0"/>
    <n v="0"/>
    <n v="0"/>
    <n v="0"/>
    <n v="0"/>
    <n v="0"/>
    <n v="0"/>
    <n v="4"/>
    <n v="4"/>
  </r>
  <r>
    <x v="0"/>
    <x v="832"/>
    <x v="0"/>
    <n v="0"/>
    <n v="0"/>
    <n v="19"/>
    <n v="40"/>
    <n v="5"/>
    <n v="3397"/>
    <n v="188"/>
    <n v="1080"/>
    <n v="759"/>
    <n v="5488"/>
  </r>
  <r>
    <x v="2"/>
    <x v="832"/>
    <x v="0"/>
    <n v="0"/>
    <n v="0"/>
    <n v="0"/>
    <n v="2"/>
    <n v="0"/>
    <n v="0"/>
    <n v="1"/>
    <n v="3"/>
    <n v="0"/>
    <n v="6"/>
  </r>
  <r>
    <x v="0"/>
    <x v="833"/>
    <x v="0"/>
    <n v="3"/>
    <n v="22"/>
    <n v="7"/>
    <n v="0"/>
    <n v="2"/>
    <n v="0"/>
    <n v="0"/>
    <n v="0"/>
    <n v="0"/>
    <n v="34"/>
  </r>
  <r>
    <x v="0"/>
    <x v="834"/>
    <x v="0"/>
    <n v="0"/>
    <n v="40"/>
    <n v="197"/>
    <n v="112"/>
    <n v="53"/>
    <n v="41"/>
    <n v="63"/>
    <n v="96"/>
    <n v="42"/>
    <n v="644"/>
  </r>
  <r>
    <x v="1"/>
    <x v="835"/>
    <x v="0"/>
    <n v="0"/>
    <n v="0"/>
    <n v="0"/>
    <n v="0"/>
    <n v="0"/>
    <n v="0"/>
    <n v="0"/>
    <n v="0"/>
    <n v="6"/>
    <n v="6"/>
  </r>
  <r>
    <x v="1"/>
    <x v="836"/>
    <x v="0"/>
    <n v="0"/>
    <n v="1"/>
    <n v="0"/>
    <n v="0"/>
    <n v="0"/>
    <n v="0"/>
    <n v="0"/>
    <n v="0"/>
    <n v="0"/>
    <n v="1"/>
  </r>
  <r>
    <x v="0"/>
    <x v="836"/>
    <x v="0"/>
    <n v="0"/>
    <n v="14"/>
    <n v="0"/>
    <n v="0"/>
    <n v="0"/>
    <n v="0"/>
    <n v="0"/>
    <n v="0"/>
    <n v="0"/>
    <n v="14"/>
  </r>
  <r>
    <x v="2"/>
    <x v="836"/>
    <x v="8"/>
    <n v="1"/>
    <n v="0"/>
    <n v="0"/>
    <n v="0"/>
    <n v="0"/>
    <n v="0"/>
    <n v="0"/>
    <n v="2"/>
    <n v="0"/>
    <n v="5"/>
  </r>
  <r>
    <x v="0"/>
    <x v="837"/>
    <x v="0"/>
    <n v="0"/>
    <n v="7"/>
    <n v="84"/>
    <n v="54"/>
    <n v="44"/>
    <n v="105"/>
    <n v="119"/>
    <n v="237"/>
    <n v="143"/>
    <n v="793"/>
  </r>
  <r>
    <x v="2"/>
    <x v="837"/>
    <x v="0"/>
    <n v="0"/>
    <n v="0"/>
    <n v="0"/>
    <n v="0"/>
    <n v="0"/>
    <n v="1"/>
    <n v="0"/>
    <n v="0"/>
    <n v="0"/>
    <n v="1"/>
  </r>
  <r>
    <x v="0"/>
    <x v="838"/>
    <x v="0"/>
    <n v="0"/>
    <n v="1"/>
    <n v="1"/>
    <n v="0"/>
    <n v="0"/>
    <n v="0"/>
    <n v="0"/>
    <n v="0"/>
    <n v="0"/>
    <n v="2"/>
  </r>
  <r>
    <x v="2"/>
    <x v="839"/>
    <x v="28"/>
    <n v="1"/>
    <n v="26"/>
    <n v="19"/>
    <n v="0"/>
    <n v="0"/>
    <n v="0"/>
    <n v="0"/>
    <n v="0"/>
    <n v="0"/>
    <n v="51"/>
  </r>
  <r>
    <x v="1"/>
    <x v="840"/>
    <x v="0"/>
    <n v="0"/>
    <n v="0"/>
    <n v="0"/>
    <n v="480"/>
    <n v="2098"/>
    <n v="4704"/>
    <n v="14910"/>
    <n v="6976"/>
    <n v="4650"/>
    <n v="33818"/>
  </r>
  <r>
    <x v="1"/>
    <x v="841"/>
    <x v="0"/>
    <n v="0"/>
    <n v="0"/>
    <n v="0"/>
    <n v="0"/>
    <n v="0"/>
    <n v="408"/>
    <n v="1564"/>
    <n v="822"/>
    <n v="176"/>
    <n v="2970"/>
  </r>
  <r>
    <x v="0"/>
    <x v="842"/>
    <x v="0"/>
    <n v="0"/>
    <n v="0"/>
    <n v="0"/>
    <n v="0"/>
    <n v="0"/>
    <n v="18"/>
    <n v="200"/>
    <n v="496"/>
    <n v="223"/>
    <n v="937"/>
  </r>
  <r>
    <x v="0"/>
    <x v="843"/>
    <x v="0"/>
    <n v="0"/>
    <n v="0"/>
    <n v="0"/>
    <n v="0"/>
    <n v="0"/>
    <n v="0"/>
    <n v="0"/>
    <n v="0"/>
    <n v="162"/>
    <n v="162"/>
  </r>
  <r>
    <x v="1"/>
    <x v="844"/>
    <x v="0"/>
    <n v="0"/>
    <n v="0"/>
    <n v="0"/>
    <n v="0"/>
    <n v="0"/>
    <n v="0"/>
    <n v="0"/>
    <n v="92"/>
    <n v="1134"/>
    <n v="1226"/>
  </r>
  <r>
    <x v="0"/>
    <x v="845"/>
    <x v="0"/>
    <n v="0"/>
    <n v="0"/>
    <n v="1"/>
    <n v="10"/>
    <n v="5"/>
    <n v="2"/>
    <n v="31"/>
    <n v="31"/>
    <n v="5"/>
    <n v="85"/>
  </r>
  <r>
    <x v="0"/>
    <x v="846"/>
    <x v="0"/>
    <n v="0"/>
    <n v="0"/>
    <n v="0"/>
    <n v="0"/>
    <n v="0"/>
    <n v="0"/>
    <n v="0"/>
    <n v="4"/>
    <n v="65"/>
    <n v="69"/>
  </r>
  <r>
    <x v="0"/>
    <x v="847"/>
    <x v="0"/>
    <n v="0"/>
    <n v="0"/>
    <n v="59"/>
    <n v="88"/>
    <n v="52"/>
    <n v="43"/>
    <n v="136"/>
    <n v="338"/>
    <n v="180"/>
    <n v="896"/>
  </r>
  <r>
    <x v="2"/>
    <x v="848"/>
    <x v="0"/>
    <n v="0"/>
    <n v="0"/>
    <n v="0"/>
    <n v="0"/>
    <n v="0"/>
    <n v="0"/>
    <n v="0"/>
    <n v="0"/>
    <n v="1"/>
    <n v="1"/>
  </r>
  <r>
    <x v="2"/>
    <x v="849"/>
    <x v="0"/>
    <n v="0"/>
    <n v="0"/>
    <n v="0"/>
    <n v="0"/>
    <n v="0"/>
    <n v="0"/>
    <n v="0"/>
    <n v="1"/>
    <n v="3"/>
    <n v="4"/>
  </r>
  <r>
    <x v="2"/>
    <x v="850"/>
    <x v="0"/>
    <n v="0"/>
    <n v="0"/>
    <n v="0"/>
    <n v="0"/>
    <n v="0"/>
    <n v="0"/>
    <n v="0"/>
    <n v="0"/>
    <n v="2"/>
    <n v="2"/>
  </r>
  <r>
    <x v="1"/>
    <x v="851"/>
    <x v="0"/>
    <n v="0"/>
    <n v="0"/>
    <n v="0"/>
    <n v="0"/>
    <n v="1"/>
    <n v="60"/>
    <n v="143"/>
    <n v="68"/>
    <n v="260"/>
    <n v="532"/>
  </r>
  <r>
    <x v="1"/>
    <x v="852"/>
    <x v="37"/>
    <n v="34"/>
    <n v="4"/>
    <n v="1"/>
    <n v="1"/>
    <n v="0"/>
    <n v="0"/>
    <n v="0"/>
    <n v="0"/>
    <n v="0"/>
    <n v="96"/>
  </r>
  <r>
    <x v="0"/>
    <x v="852"/>
    <x v="0"/>
    <n v="0"/>
    <n v="1"/>
    <n v="0"/>
    <n v="0"/>
    <n v="0"/>
    <n v="0"/>
    <n v="0"/>
    <n v="0"/>
    <n v="0"/>
    <n v="1"/>
  </r>
  <r>
    <x v="2"/>
    <x v="852"/>
    <x v="2"/>
    <n v="0"/>
    <n v="0"/>
    <n v="0"/>
    <n v="0"/>
    <n v="0"/>
    <n v="0"/>
    <n v="0"/>
    <n v="0"/>
    <n v="0"/>
    <n v="1"/>
  </r>
  <r>
    <x v="0"/>
    <x v="853"/>
    <x v="0"/>
    <n v="0"/>
    <n v="0"/>
    <n v="0"/>
    <n v="0"/>
    <n v="0"/>
    <n v="0"/>
    <n v="0"/>
    <n v="0"/>
    <n v="246"/>
    <n v="246"/>
  </r>
  <r>
    <x v="0"/>
    <x v="854"/>
    <x v="0"/>
    <n v="0"/>
    <n v="0"/>
    <n v="0"/>
    <n v="0"/>
    <n v="0"/>
    <n v="0"/>
    <n v="0"/>
    <n v="32"/>
    <n v="107"/>
    <n v="139"/>
  </r>
  <r>
    <x v="0"/>
    <x v="855"/>
    <x v="38"/>
    <n v="101"/>
    <n v="309"/>
    <n v="270"/>
    <n v="377"/>
    <n v="87"/>
    <n v="11"/>
    <n v="1"/>
    <n v="1"/>
    <n v="0"/>
    <n v="1195"/>
  </r>
  <r>
    <x v="0"/>
    <x v="856"/>
    <x v="0"/>
    <n v="0"/>
    <n v="1"/>
    <n v="0"/>
    <n v="0"/>
    <n v="0"/>
    <n v="0"/>
    <n v="0"/>
    <n v="0"/>
    <n v="0"/>
    <n v="1"/>
  </r>
  <r>
    <x v="0"/>
    <x v="857"/>
    <x v="0"/>
    <n v="0"/>
    <n v="10"/>
    <n v="328"/>
    <n v="492"/>
    <n v="275"/>
    <n v="415"/>
    <n v="518"/>
    <n v="629"/>
    <n v="405"/>
    <n v="3072"/>
  </r>
  <r>
    <x v="0"/>
    <x v="858"/>
    <x v="0"/>
    <n v="0"/>
    <n v="0"/>
    <n v="79"/>
    <n v="140"/>
    <n v="62"/>
    <n v="49"/>
    <n v="189"/>
    <n v="126"/>
    <n v="44"/>
    <n v="689"/>
  </r>
  <r>
    <x v="0"/>
    <x v="859"/>
    <x v="0"/>
    <n v="0"/>
    <n v="0"/>
    <n v="0"/>
    <n v="0"/>
    <n v="0"/>
    <n v="0"/>
    <n v="0"/>
    <n v="29"/>
    <n v="83"/>
    <n v="112"/>
  </r>
  <r>
    <x v="0"/>
    <x v="860"/>
    <x v="0"/>
    <n v="0"/>
    <n v="0"/>
    <n v="1"/>
    <n v="2"/>
    <n v="0"/>
    <n v="0"/>
    <n v="0"/>
    <n v="0"/>
    <n v="0"/>
    <n v="3"/>
  </r>
  <r>
    <x v="2"/>
    <x v="861"/>
    <x v="0"/>
    <n v="0"/>
    <n v="7"/>
    <n v="0"/>
    <n v="0"/>
    <n v="0"/>
    <n v="0"/>
    <n v="0"/>
    <n v="0"/>
    <n v="0"/>
    <n v="7"/>
  </r>
  <r>
    <x v="2"/>
    <x v="862"/>
    <x v="0"/>
    <n v="0"/>
    <n v="2"/>
    <n v="0"/>
    <n v="0"/>
    <n v="0"/>
    <n v="0"/>
    <n v="0"/>
    <n v="0"/>
    <n v="0"/>
    <n v="2"/>
  </r>
  <r>
    <x v="0"/>
    <x v="863"/>
    <x v="0"/>
    <n v="0"/>
    <n v="0"/>
    <n v="45"/>
    <n v="106"/>
    <n v="79"/>
    <n v="61"/>
    <n v="11"/>
    <n v="6"/>
    <n v="26"/>
    <n v="334"/>
  </r>
  <r>
    <x v="0"/>
    <x v="864"/>
    <x v="0"/>
    <n v="0"/>
    <n v="1"/>
    <n v="0"/>
    <n v="0"/>
    <n v="0"/>
    <n v="0"/>
    <n v="0"/>
    <n v="0"/>
    <n v="0"/>
    <n v="1"/>
  </r>
  <r>
    <x v="0"/>
    <x v="865"/>
    <x v="0"/>
    <n v="0"/>
    <n v="3"/>
    <n v="6"/>
    <n v="0"/>
    <n v="0"/>
    <n v="0"/>
    <n v="0"/>
    <n v="0"/>
    <n v="0"/>
    <n v="9"/>
  </r>
  <r>
    <x v="0"/>
    <x v="866"/>
    <x v="0"/>
    <n v="0"/>
    <n v="10"/>
    <n v="1"/>
    <n v="0"/>
    <n v="0"/>
    <n v="0"/>
    <n v="0"/>
    <n v="0"/>
    <n v="0"/>
    <n v="11"/>
  </r>
  <r>
    <x v="0"/>
    <x v="867"/>
    <x v="0"/>
    <n v="212"/>
    <n v="409"/>
    <n v="209"/>
    <n v="59"/>
    <n v="15"/>
    <n v="9"/>
    <n v="0"/>
    <n v="0"/>
    <n v="0"/>
    <n v="913"/>
  </r>
  <r>
    <x v="0"/>
    <x v="868"/>
    <x v="0"/>
    <n v="0"/>
    <n v="2"/>
    <n v="0"/>
    <n v="0"/>
    <n v="0"/>
    <n v="0"/>
    <n v="0"/>
    <n v="0"/>
    <n v="0"/>
    <n v="2"/>
  </r>
  <r>
    <x v="0"/>
    <x v="869"/>
    <x v="39"/>
    <n v="1203"/>
    <n v="1532"/>
    <n v="3226"/>
    <n v="5080"/>
    <n v="4153"/>
    <n v="7098"/>
    <n v="19314"/>
    <n v="29321"/>
    <n v="16408"/>
    <n v="87475"/>
  </r>
  <r>
    <x v="2"/>
    <x v="869"/>
    <x v="0"/>
    <n v="0"/>
    <n v="1"/>
    <n v="2"/>
    <n v="0"/>
    <n v="1"/>
    <n v="0"/>
    <n v="0"/>
    <n v="1"/>
    <n v="0"/>
    <n v="5"/>
  </r>
  <r>
    <x v="3"/>
    <x v="869"/>
    <x v="0"/>
    <n v="0"/>
    <n v="0"/>
    <n v="0"/>
    <n v="0"/>
    <n v="0"/>
    <n v="0"/>
    <n v="0"/>
    <n v="1"/>
    <n v="0"/>
    <n v="1"/>
  </r>
  <r>
    <x v="2"/>
    <x v="870"/>
    <x v="2"/>
    <n v="0"/>
    <n v="0"/>
    <n v="0"/>
    <n v="0"/>
    <n v="0"/>
    <n v="0"/>
    <n v="0"/>
    <n v="0"/>
    <n v="0"/>
    <n v="1"/>
  </r>
  <r>
    <x v="0"/>
    <x v="871"/>
    <x v="0"/>
    <n v="0"/>
    <n v="0"/>
    <n v="0"/>
    <n v="0"/>
    <n v="0"/>
    <n v="0"/>
    <n v="16"/>
    <n v="10"/>
    <n v="17"/>
    <n v="43"/>
  </r>
  <r>
    <x v="0"/>
    <x v="872"/>
    <x v="0"/>
    <n v="0"/>
    <n v="1"/>
    <n v="0"/>
    <n v="0"/>
    <n v="0"/>
    <n v="0"/>
    <n v="0"/>
    <n v="0"/>
    <n v="0"/>
    <n v="1"/>
  </r>
  <r>
    <x v="0"/>
    <x v="873"/>
    <x v="0"/>
    <n v="0"/>
    <n v="1"/>
    <n v="0"/>
    <n v="0"/>
    <n v="0"/>
    <n v="0"/>
    <n v="0"/>
    <n v="0"/>
    <n v="0"/>
    <n v="1"/>
  </r>
  <r>
    <x v="0"/>
    <x v="874"/>
    <x v="0"/>
    <n v="0"/>
    <n v="0"/>
    <n v="0"/>
    <n v="0"/>
    <n v="0"/>
    <n v="0"/>
    <n v="1133"/>
    <n v="5788"/>
    <n v="5074"/>
    <n v="11995"/>
  </r>
  <r>
    <x v="1"/>
    <x v="875"/>
    <x v="0"/>
    <n v="0"/>
    <n v="0"/>
    <n v="0"/>
    <n v="0"/>
    <n v="0"/>
    <n v="0"/>
    <n v="0"/>
    <n v="22"/>
    <n v="7"/>
    <n v="29"/>
  </r>
  <r>
    <x v="0"/>
    <x v="876"/>
    <x v="0"/>
    <n v="0"/>
    <n v="0"/>
    <n v="0"/>
    <n v="0"/>
    <n v="0"/>
    <n v="0"/>
    <n v="0"/>
    <n v="0"/>
    <n v="29"/>
    <n v="29"/>
  </r>
  <r>
    <x v="0"/>
    <x v="877"/>
    <x v="0"/>
    <n v="0"/>
    <n v="0"/>
    <n v="0"/>
    <n v="0"/>
    <n v="0"/>
    <n v="7"/>
    <n v="142"/>
    <n v="36"/>
    <n v="11"/>
    <n v="196"/>
  </r>
  <r>
    <x v="0"/>
    <x v="878"/>
    <x v="0"/>
    <n v="0"/>
    <n v="26"/>
    <n v="2"/>
    <n v="0"/>
    <n v="0"/>
    <n v="0"/>
    <n v="0"/>
    <n v="0"/>
    <n v="0"/>
    <n v="28"/>
  </r>
  <r>
    <x v="0"/>
    <x v="879"/>
    <x v="0"/>
    <n v="0"/>
    <n v="0"/>
    <n v="55"/>
    <n v="35"/>
    <n v="2"/>
    <n v="6"/>
    <n v="241"/>
    <n v="175"/>
    <n v="65"/>
    <n v="579"/>
  </r>
  <r>
    <x v="0"/>
    <x v="880"/>
    <x v="0"/>
    <n v="181"/>
    <n v="272"/>
    <n v="354"/>
    <n v="243"/>
    <n v="81"/>
    <n v="31"/>
    <n v="17"/>
    <n v="4"/>
    <n v="97"/>
    <n v="1280"/>
  </r>
  <r>
    <x v="2"/>
    <x v="881"/>
    <x v="0"/>
    <n v="0"/>
    <n v="1"/>
    <n v="0"/>
    <n v="0"/>
    <n v="0"/>
    <n v="0"/>
    <n v="0"/>
    <n v="0"/>
    <n v="0"/>
    <n v="1"/>
  </r>
  <r>
    <x v="2"/>
    <x v="882"/>
    <x v="0"/>
    <n v="0"/>
    <n v="2"/>
    <n v="0"/>
    <n v="0"/>
    <n v="0"/>
    <n v="0"/>
    <n v="0"/>
    <n v="0"/>
    <n v="0"/>
    <n v="2"/>
  </r>
  <r>
    <x v="1"/>
    <x v="883"/>
    <x v="0"/>
    <n v="1"/>
    <n v="0"/>
    <n v="0"/>
    <n v="0"/>
    <n v="0"/>
    <n v="0"/>
    <n v="0"/>
    <n v="0"/>
    <n v="0"/>
    <n v="1"/>
  </r>
  <r>
    <x v="0"/>
    <x v="883"/>
    <x v="0"/>
    <n v="1"/>
    <n v="2"/>
    <n v="0"/>
    <n v="0"/>
    <n v="0"/>
    <n v="0"/>
    <n v="0"/>
    <n v="0"/>
    <n v="0"/>
    <n v="3"/>
  </r>
  <r>
    <x v="0"/>
    <x v="884"/>
    <x v="0"/>
    <n v="0"/>
    <n v="0"/>
    <n v="0"/>
    <n v="16"/>
    <n v="3"/>
    <n v="2"/>
    <n v="0"/>
    <n v="5"/>
    <n v="21"/>
    <n v="47"/>
  </r>
  <r>
    <x v="0"/>
    <x v="885"/>
    <x v="0"/>
    <n v="0"/>
    <n v="1"/>
    <n v="13"/>
    <n v="59"/>
    <n v="20"/>
    <n v="37"/>
    <n v="353"/>
    <n v="677"/>
    <n v="386"/>
    <n v="1546"/>
  </r>
  <r>
    <x v="0"/>
    <x v="886"/>
    <x v="0"/>
    <n v="0"/>
    <n v="1"/>
    <n v="0"/>
    <n v="0"/>
    <n v="0"/>
    <n v="0"/>
    <n v="0"/>
    <n v="0"/>
    <n v="0"/>
    <n v="1"/>
  </r>
  <r>
    <x v="0"/>
    <x v="887"/>
    <x v="0"/>
    <n v="0"/>
    <n v="0"/>
    <n v="0"/>
    <n v="56"/>
    <n v="22"/>
    <n v="0"/>
    <n v="0"/>
    <n v="0"/>
    <n v="0"/>
    <n v="78"/>
  </r>
  <r>
    <x v="0"/>
    <x v="888"/>
    <x v="0"/>
    <n v="0"/>
    <n v="11"/>
    <n v="0"/>
    <n v="0"/>
    <n v="0"/>
    <n v="0"/>
    <n v="0"/>
    <n v="0"/>
    <n v="0"/>
    <n v="11"/>
  </r>
  <r>
    <x v="0"/>
    <x v="889"/>
    <x v="0"/>
    <n v="0"/>
    <n v="0"/>
    <n v="0"/>
    <n v="0"/>
    <n v="0"/>
    <n v="0"/>
    <n v="0"/>
    <n v="204"/>
    <n v="4"/>
    <n v="208"/>
  </r>
  <r>
    <x v="2"/>
    <x v="890"/>
    <x v="0"/>
    <n v="0"/>
    <n v="1"/>
    <n v="0"/>
    <n v="0"/>
    <n v="0"/>
    <n v="0"/>
    <n v="0"/>
    <n v="0"/>
    <n v="0"/>
    <n v="1"/>
  </r>
  <r>
    <x v="0"/>
    <x v="891"/>
    <x v="40"/>
    <n v="13"/>
    <n v="4"/>
    <n v="0"/>
    <n v="0"/>
    <n v="0"/>
    <n v="0"/>
    <n v="0"/>
    <n v="0"/>
    <n v="0"/>
    <n v="24"/>
  </r>
  <r>
    <x v="0"/>
    <x v="892"/>
    <x v="0"/>
    <n v="0"/>
    <n v="10"/>
    <n v="233"/>
    <n v="182"/>
    <n v="341"/>
    <n v="565"/>
    <n v="1310"/>
    <n v="2831"/>
    <n v="2169"/>
    <n v="7641"/>
  </r>
  <r>
    <x v="0"/>
    <x v="893"/>
    <x v="0"/>
    <n v="4"/>
    <n v="12"/>
    <n v="2"/>
    <n v="0"/>
    <n v="0"/>
    <n v="0"/>
    <n v="1"/>
    <n v="2"/>
    <n v="0"/>
    <n v="21"/>
  </r>
  <r>
    <x v="1"/>
    <x v="894"/>
    <x v="0"/>
    <n v="0"/>
    <n v="0"/>
    <n v="0"/>
    <n v="0"/>
    <n v="14"/>
    <n v="46"/>
    <n v="19"/>
    <n v="22"/>
    <n v="8"/>
    <n v="109"/>
  </r>
  <r>
    <x v="0"/>
    <x v="895"/>
    <x v="0"/>
    <n v="0"/>
    <n v="1"/>
    <n v="0"/>
    <n v="0"/>
    <n v="5"/>
    <n v="4"/>
    <n v="5"/>
    <n v="1"/>
    <n v="1"/>
    <n v="17"/>
  </r>
  <r>
    <x v="0"/>
    <x v="896"/>
    <x v="0"/>
    <n v="0"/>
    <n v="0"/>
    <n v="0"/>
    <n v="14"/>
    <n v="13"/>
    <n v="22"/>
    <n v="36"/>
    <n v="36"/>
    <n v="13"/>
    <n v="134"/>
  </r>
  <r>
    <x v="1"/>
    <x v="897"/>
    <x v="0"/>
    <n v="0"/>
    <n v="0"/>
    <n v="0"/>
    <n v="0"/>
    <n v="0"/>
    <n v="0"/>
    <n v="0"/>
    <n v="3"/>
    <n v="12"/>
    <n v="15"/>
  </r>
  <r>
    <x v="0"/>
    <x v="898"/>
    <x v="0"/>
    <n v="0"/>
    <n v="0"/>
    <n v="40"/>
    <n v="54"/>
    <n v="28"/>
    <n v="23"/>
    <n v="55"/>
    <n v="54"/>
    <n v="37"/>
    <n v="291"/>
  </r>
  <r>
    <x v="0"/>
    <x v="899"/>
    <x v="0"/>
    <n v="0"/>
    <n v="0"/>
    <n v="32"/>
    <n v="79"/>
    <n v="59"/>
    <n v="130"/>
    <n v="401"/>
    <n v="911"/>
    <n v="700"/>
    <n v="2312"/>
  </r>
  <r>
    <x v="0"/>
    <x v="900"/>
    <x v="0"/>
    <n v="0"/>
    <n v="88"/>
    <n v="50"/>
    <n v="6"/>
    <n v="6"/>
    <n v="4"/>
    <n v="0"/>
    <n v="0"/>
    <n v="0"/>
    <n v="154"/>
  </r>
  <r>
    <x v="0"/>
    <x v="901"/>
    <x v="0"/>
    <n v="0"/>
    <n v="0"/>
    <n v="0"/>
    <n v="0"/>
    <n v="0"/>
    <n v="0"/>
    <n v="16"/>
    <n v="49"/>
    <n v="14"/>
    <n v="79"/>
  </r>
  <r>
    <x v="0"/>
    <x v="902"/>
    <x v="0"/>
    <n v="0"/>
    <n v="0"/>
    <n v="0"/>
    <n v="0"/>
    <n v="1"/>
    <n v="0"/>
    <n v="0"/>
    <n v="0"/>
    <n v="0"/>
    <n v="1"/>
  </r>
  <r>
    <x v="0"/>
    <x v="903"/>
    <x v="0"/>
    <n v="0"/>
    <n v="0"/>
    <n v="63"/>
    <n v="28"/>
    <n v="49"/>
    <n v="28"/>
    <n v="60"/>
    <n v="31"/>
    <n v="23"/>
    <n v="282"/>
  </r>
  <r>
    <x v="3"/>
    <x v="904"/>
    <x v="2"/>
    <n v="0"/>
    <n v="0"/>
    <n v="0"/>
    <n v="0"/>
    <n v="0"/>
    <n v="0"/>
    <n v="0"/>
    <n v="0"/>
    <n v="0"/>
    <n v="1"/>
  </r>
  <r>
    <x v="0"/>
    <x v="905"/>
    <x v="0"/>
    <n v="0"/>
    <n v="0"/>
    <n v="0"/>
    <n v="0"/>
    <n v="0"/>
    <n v="0"/>
    <n v="0"/>
    <n v="40"/>
    <n v="91"/>
    <n v="131"/>
  </r>
  <r>
    <x v="0"/>
    <x v="906"/>
    <x v="0"/>
    <n v="0"/>
    <n v="63"/>
    <n v="155"/>
    <n v="188"/>
    <n v="191"/>
    <n v="281"/>
    <n v="415"/>
    <n v="787"/>
    <n v="522"/>
    <n v="2602"/>
  </r>
  <r>
    <x v="0"/>
    <x v="907"/>
    <x v="0"/>
    <n v="0"/>
    <n v="1"/>
    <n v="0"/>
    <n v="0"/>
    <n v="0"/>
    <n v="0"/>
    <n v="0"/>
    <n v="0"/>
    <n v="0"/>
    <n v="1"/>
  </r>
  <r>
    <x v="0"/>
    <x v="908"/>
    <x v="0"/>
    <n v="0"/>
    <n v="0"/>
    <n v="0"/>
    <n v="0"/>
    <n v="0"/>
    <n v="0"/>
    <n v="213"/>
    <n v="617"/>
    <n v="360"/>
    <n v="1190"/>
  </r>
  <r>
    <x v="0"/>
    <x v="909"/>
    <x v="0"/>
    <n v="0"/>
    <n v="0"/>
    <n v="0"/>
    <n v="0"/>
    <n v="0"/>
    <n v="0"/>
    <n v="0"/>
    <n v="28"/>
    <n v="21"/>
    <n v="49"/>
  </r>
  <r>
    <x v="1"/>
    <x v="910"/>
    <x v="0"/>
    <n v="0"/>
    <n v="0"/>
    <n v="0"/>
    <n v="0"/>
    <n v="0"/>
    <n v="0"/>
    <n v="0"/>
    <n v="0"/>
    <n v="1568"/>
    <n v="1568"/>
  </r>
  <r>
    <x v="0"/>
    <x v="911"/>
    <x v="0"/>
    <n v="12"/>
    <n v="11"/>
    <n v="20"/>
    <n v="1"/>
    <n v="1"/>
    <n v="0"/>
    <n v="0"/>
    <n v="0"/>
    <n v="0"/>
    <n v="45"/>
  </r>
  <r>
    <x v="0"/>
    <x v="912"/>
    <x v="0"/>
    <n v="82"/>
    <n v="352"/>
    <n v="565"/>
    <n v="950"/>
    <n v="452"/>
    <n v="505"/>
    <n v="853"/>
    <n v="431"/>
    <n v="145"/>
    <n v="4335"/>
  </r>
  <r>
    <x v="2"/>
    <x v="912"/>
    <x v="0"/>
    <n v="0"/>
    <n v="0"/>
    <n v="1"/>
    <n v="1"/>
    <n v="0"/>
    <n v="9"/>
    <n v="0"/>
    <n v="0"/>
    <n v="0"/>
    <n v="11"/>
  </r>
  <r>
    <x v="0"/>
    <x v="913"/>
    <x v="0"/>
    <n v="0"/>
    <n v="19"/>
    <n v="9"/>
    <n v="0"/>
    <n v="0"/>
    <n v="0"/>
    <n v="0"/>
    <n v="0"/>
    <n v="0"/>
    <n v="28"/>
  </r>
  <r>
    <x v="0"/>
    <x v="914"/>
    <x v="0"/>
    <n v="0"/>
    <n v="30"/>
    <n v="92"/>
    <n v="61"/>
    <n v="8"/>
    <n v="10"/>
    <n v="5"/>
    <n v="110"/>
    <n v="138"/>
    <n v="454"/>
  </r>
  <r>
    <x v="0"/>
    <x v="915"/>
    <x v="0"/>
    <n v="0"/>
    <n v="0"/>
    <n v="0"/>
    <n v="0"/>
    <n v="0"/>
    <n v="0"/>
    <n v="91"/>
    <n v="120"/>
    <n v="72"/>
    <n v="283"/>
  </r>
  <r>
    <x v="0"/>
    <x v="916"/>
    <x v="0"/>
    <n v="0"/>
    <n v="0"/>
    <n v="0"/>
    <n v="0"/>
    <n v="0"/>
    <n v="0"/>
    <n v="0"/>
    <n v="0"/>
    <n v="72"/>
    <n v="72"/>
  </r>
  <r>
    <x v="0"/>
    <x v="917"/>
    <x v="0"/>
    <n v="0"/>
    <n v="633"/>
    <n v="582"/>
    <n v="209"/>
    <n v="40"/>
    <n v="23"/>
    <n v="69"/>
    <n v="197"/>
    <n v="151"/>
    <n v="1904"/>
  </r>
  <r>
    <x v="2"/>
    <x v="918"/>
    <x v="0"/>
    <n v="2"/>
    <n v="2"/>
    <n v="0"/>
    <n v="0"/>
    <n v="0"/>
    <n v="0"/>
    <n v="0"/>
    <n v="0"/>
    <n v="0"/>
    <n v="4"/>
  </r>
  <r>
    <x v="0"/>
    <x v="919"/>
    <x v="0"/>
    <n v="0"/>
    <n v="0"/>
    <n v="0"/>
    <n v="0"/>
    <n v="0"/>
    <n v="0"/>
    <n v="0"/>
    <n v="0"/>
    <n v="65"/>
    <n v="65"/>
  </r>
  <r>
    <x v="0"/>
    <x v="920"/>
    <x v="0"/>
    <n v="0"/>
    <n v="0"/>
    <n v="0"/>
    <n v="0"/>
    <n v="0"/>
    <n v="0"/>
    <n v="0"/>
    <n v="0"/>
    <n v="35"/>
    <n v="35"/>
  </r>
  <r>
    <x v="0"/>
    <x v="921"/>
    <x v="0"/>
    <n v="0"/>
    <n v="0"/>
    <n v="33"/>
    <n v="69"/>
    <n v="14"/>
    <n v="17"/>
    <n v="181"/>
    <n v="307"/>
    <n v="98"/>
    <n v="719"/>
  </r>
  <r>
    <x v="0"/>
    <x v="922"/>
    <x v="0"/>
    <n v="0"/>
    <n v="44"/>
    <n v="39"/>
    <n v="0"/>
    <n v="0"/>
    <n v="0"/>
    <n v="0"/>
    <n v="0"/>
    <n v="0"/>
    <n v="83"/>
  </r>
  <r>
    <x v="0"/>
    <x v="923"/>
    <x v="0"/>
    <n v="0"/>
    <n v="0"/>
    <n v="2"/>
    <n v="14"/>
    <n v="13"/>
    <n v="43"/>
    <n v="13"/>
    <n v="9"/>
    <n v="3"/>
    <n v="97"/>
  </r>
  <r>
    <x v="2"/>
    <x v="924"/>
    <x v="8"/>
    <n v="2"/>
    <n v="5"/>
    <n v="8"/>
    <n v="0"/>
    <n v="0"/>
    <n v="0"/>
    <n v="0"/>
    <n v="0"/>
    <n v="0"/>
    <n v="17"/>
  </r>
  <r>
    <x v="3"/>
    <x v="924"/>
    <x v="0"/>
    <n v="1"/>
    <n v="0"/>
    <n v="0"/>
    <n v="0"/>
    <n v="0"/>
    <n v="0"/>
    <n v="0"/>
    <n v="0"/>
    <n v="0"/>
    <n v="1"/>
  </r>
  <r>
    <x v="2"/>
    <x v="925"/>
    <x v="0"/>
    <n v="0"/>
    <n v="2"/>
    <n v="0"/>
    <n v="0"/>
    <n v="0"/>
    <n v="0"/>
    <n v="0"/>
    <n v="0"/>
    <n v="0"/>
    <n v="2"/>
  </r>
  <r>
    <x v="2"/>
    <x v="926"/>
    <x v="0"/>
    <n v="1"/>
    <n v="0"/>
    <n v="0"/>
    <n v="0"/>
    <n v="0"/>
    <n v="0"/>
    <n v="0"/>
    <n v="0"/>
    <n v="0"/>
    <n v="1"/>
  </r>
  <r>
    <x v="0"/>
    <x v="927"/>
    <x v="0"/>
    <n v="0"/>
    <n v="0"/>
    <n v="175"/>
    <n v="84"/>
    <n v="0"/>
    <n v="1"/>
    <n v="0"/>
    <n v="0"/>
    <n v="0"/>
    <n v="260"/>
  </r>
  <r>
    <x v="2"/>
    <x v="928"/>
    <x v="0"/>
    <n v="1"/>
    <n v="0"/>
    <n v="0"/>
    <n v="0"/>
    <n v="0"/>
    <n v="0"/>
    <n v="0"/>
    <n v="0"/>
    <n v="0"/>
    <n v="1"/>
  </r>
  <r>
    <x v="1"/>
    <x v="929"/>
    <x v="0"/>
    <n v="0"/>
    <n v="0"/>
    <n v="0"/>
    <n v="0"/>
    <n v="0"/>
    <n v="0"/>
    <n v="1"/>
    <n v="0"/>
    <n v="0"/>
    <n v="1"/>
  </r>
  <r>
    <x v="0"/>
    <x v="929"/>
    <x v="0"/>
    <n v="0"/>
    <n v="49"/>
    <n v="575"/>
    <n v="794"/>
    <n v="433"/>
    <n v="645"/>
    <n v="1554"/>
    <n v="4086"/>
    <n v="3224"/>
    <n v="11360"/>
  </r>
  <r>
    <x v="2"/>
    <x v="929"/>
    <x v="0"/>
    <n v="0"/>
    <n v="0"/>
    <n v="0"/>
    <n v="0"/>
    <n v="0"/>
    <n v="0"/>
    <n v="1"/>
    <n v="2"/>
    <n v="0"/>
    <n v="3"/>
  </r>
  <r>
    <x v="0"/>
    <x v="930"/>
    <x v="0"/>
    <n v="6"/>
    <n v="2"/>
    <n v="0"/>
    <n v="0"/>
    <n v="0"/>
    <n v="0"/>
    <n v="0"/>
    <n v="0"/>
    <n v="0"/>
    <n v="8"/>
  </r>
  <r>
    <x v="0"/>
    <x v="931"/>
    <x v="0"/>
    <n v="1"/>
    <n v="1"/>
    <n v="0"/>
    <n v="0"/>
    <n v="0"/>
    <n v="0"/>
    <n v="0"/>
    <n v="0"/>
    <n v="0"/>
    <n v="2"/>
  </r>
  <r>
    <x v="2"/>
    <x v="931"/>
    <x v="0"/>
    <n v="0"/>
    <n v="0"/>
    <n v="1"/>
    <n v="0"/>
    <n v="0"/>
    <n v="0"/>
    <n v="0"/>
    <n v="0"/>
    <n v="0"/>
    <n v="1"/>
  </r>
  <r>
    <x v="2"/>
    <x v="932"/>
    <x v="2"/>
    <n v="1"/>
    <n v="0"/>
    <n v="0"/>
    <n v="0"/>
    <n v="0"/>
    <n v="0"/>
    <n v="0"/>
    <n v="0"/>
    <n v="0"/>
    <n v="2"/>
  </r>
  <r>
    <x v="2"/>
    <x v="933"/>
    <x v="8"/>
    <n v="1"/>
    <n v="1"/>
    <n v="1"/>
    <n v="0"/>
    <n v="0"/>
    <n v="0"/>
    <n v="0"/>
    <n v="0"/>
    <n v="0"/>
    <n v="5"/>
  </r>
  <r>
    <x v="2"/>
    <x v="934"/>
    <x v="2"/>
    <n v="0"/>
    <n v="0"/>
    <n v="0"/>
    <n v="0"/>
    <n v="0"/>
    <n v="0"/>
    <n v="0"/>
    <n v="0"/>
    <n v="0"/>
    <n v="1"/>
  </r>
  <r>
    <x v="2"/>
    <x v="935"/>
    <x v="0"/>
    <n v="1"/>
    <n v="0"/>
    <n v="0"/>
    <n v="0"/>
    <n v="0"/>
    <n v="0"/>
    <n v="0"/>
    <n v="0"/>
    <n v="0"/>
    <n v="1"/>
  </r>
  <r>
    <x v="2"/>
    <x v="936"/>
    <x v="0"/>
    <n v="1"/>
    <n v="0"/>
    <n v="0"/>
    <n v="0"/>
    <n v="0"/>
    <n v="0"/>
    <n v="0"/>
    <n v="0"/>
    <n v="0"/>
    <n v="1"/>
  </r>
  <r>
    <x v="2"/>
    <x v="937"/>
    <x v="0"/>
    <n v="0"/>
    <n v="2"/>
    <n v="0"/>
    <n v="0"/>
    <n v="0"/>
    <n v="0"/>
    <n v="0"/>
    <n v="0"/>
    <n v="0"/>
    <n v="2"/>
  </r>
  <r>
    <x v="2"/>
    <x v="938"/>
    <x v="1"/>
    <n v="11"/>
    <n v="8"/>
    <n v="5"/>
    <n v="0"/>
    <n v="0"/>
    <n v="0"/>
    <n v="0"/>
    <n v="0"/>
    <n v="0"/>
    <n v="30"/>
  </r>
  <r>
    <x v="2"/>
    <x v="939"/>
    <x v="0"/>
    <n v="1"/>
    <n v="0"/>
    <n v="0"/>
    <n v="0"/>
    <n v="0"/>
    <n v="0"/>
    <n v="0"/>
    <n v="0"/>
    <n v="0"/>
    <n v="1"/>
  </r>
  <r>
    <x v="2"/>
    <x v="940"/>
    <x v="0"/>
    <n v="0"/>
    <n v="2"/>
    <n v="0"/>
    <n v="0"/>
    <n v="0"/>
    <n v="0"/>
    <n v="0"/>
    <n v="0"/>
    <n v="0"/>
    <n v="2"/>
  </r>
  <r>
    <x v="0"/>
    <x v="941"/>
    <x v="0"/>
    <n v="0"/>
    <n v="131"/>
    <n v="238"/>
    <n v="269"/>
    <n v="170"/>
    <n v="214"/>
    <n v="264"/>
    <n v="645"/>
    <n v="395"/>
    <n v="2326"/>
  </r>
  <r>
    <x v="0"/>
    <x v="942"/>
    <x v="4"/>
    <n v="469"/>
    <n v="127"/>
    <n v="26"/>
    <n v="0"/>
    <n v="0"/>
    <n v="0"/>
    <n v="4"/>
    <n v="3"/>
    <n v="0"/>
    <n v="664"/>
  </r>
  <r>
    <x v="0"/>
    <x v="943"/>
    <x v="0"/>
    <n v="23"/>
    <n v="17"/>
    <n v="2"/>
    <n v="0"/>
    <n v="0"/>
    <n v="0"/>
    <n v="0"/>
    <n v="0"/>
    <n v="0"/>
    <n v="42"/>
  </r>
  <r>
    <x v="0"/>
    <x v="944"/>
    <x v="0"/>
    <n v="0"/>
    <n v="0"/>
    <n v="1"/>
    <n v="0"/>
    <n v="0"/>
    <n v="0"/>
    <n v="0"/>
    <n v="0"/>
    <n v="0"/>
    <n v="1"/>
  </r>
  <r>
    <x v="2"/>
    <x v="945"/>
    <x v="0"/>
    <n v="0"/>
    <n v="3"/>
    <n v="0"/>
    <n v="0"/>
    <n v="0"/>
    <n v="0"/>
    <n v="0"/>
    <n v="0"/>
    <n v="0"/>
    <n v="3"/>
  </r>
  <r>
    <x v="0"/>
    <x v="946"/>
    <x v="0"/>
    <n v="0"/>
    <n v="0"/>
    <n v="0"/>
    <n v="5"/>
    <n v="4"/>
    <n v="2"/>
    <n v="8"/>
    <n v="0"/>
    <n v="0"/>
    <n v="19"/>
  </r>
  <r>
    <x v="2"/>
    <x v="947"/>
    <x v="0"/>
    <n v="2"/>
    <n v="2"/>
    <n v="0"/>
    <n v="0"/>
    <n v="0"/>
    <n v="0"/>
    <n v="0"/>
    <n v="0"/>
    <n v="0"/>
    <n v="4"/>
  </r>
  <r>
    <x v="2"/>
    <x v="948"/>
    <x v="2"/>
    <n v="0"/>
    <n v="0"/>
    <n v="1"/>
    <n v="0"/>
    <n v="0"/>
    <n v="0"/>
    <n v="0"/>
    <n v="0"/>
    <n v="0"/>
    <n v="2"/>
  </r>
  <r>
    <x v="0"/>
    <x v="949"/>
    <x v="0"/>
    <n v="0"/>
    <n v="0"/>
    <n v="40"/>
    <n v="17"/>
    <n v="158"/>
    <n v="1318"/>
    <n v="2003"/>
    <n v="2726"/>
    <n v="1240"/>
    <n v="7502"/>
  </r>
  <r>
    <x v="0"/>
    <x v="950"/>
    <x v="0"/>
    <n v="0"/>
    <n v="0"/>
    <n v="0"/>
    <n v="6"/>
    <n v="4"/>
    <n v="0"/>
    <n v="0"/>
    <n v="0"/>
    <n v="0"/>
    <n v="10"/>
  </r>
  <r>
    <x v="0"/>
    <x v="951"/>
    <x v="0"/>
    <n v="0"/>
    <n v="0"/>
    <n v="0"/>
    <n v="0"/>
    <n v="0"/>
    <n v="0"/>
    <n v="0"/>
    <n v="6"/>
    <n v="13"/>
    <n v="19"/>
  </r>
  <r>
    <x v="0"/>
    <x v="952"/>
    <x v="0"/>
    <n v="0"/>
    <n v="13"/>
    <n v="28"/>
    <n v="21"/>
    <n v="0"/>
    <n v="0"/>
    <n v="0"/>
    <n v="0"/>
    <n v="0"/>
    <n v="62"/>
  </r>
  <r>
    <x v="2"/>
    <x v="953"/>
    <x v="0"/>
    <n v="0"/>
    <n v="0"/>
    <n v="2"/>
    <n v="0"/>
    <n v="0"/>
    <n v="0"/>
    <n v="0"/>
    <n v="0"/>
    <n v="0"/>
    <n v="2"/>
  </r>
  <r>
    <x v="1"/>
    <x v="954"/>
    <x v="0"/>
    <n v="0"/>
    <n v="0"/>
    <n v="0"/>
    <n v="0"/>
    <n v="0"/>
    <n v="0"/>
    <n v="0"/>
    <n v="65"/>
    <n v="568"/>
    <n v="633"/>
  </r>
  <r>
    <x v="2"/>
    <x v="955"/>
    <x v="0"/>
    <n v="1"/>
    <n v="0"/>
    <n v="0"/>
    <n v="0"/>
    <n v="0"/>
    <n v="0"/>
    <n v="0"/>
    <n v="0"/>
    <n v="0"/>
    <n v="1"/>
  </r>
  <r>
    <x v="0"/>
    <x v="956"/>
    <x v="0"/>
    <n v="0"/>
    <n v="0"/>
    <n v="0"/>
    <n v="0"/>
    <n v="0"/>
    <n v="0"/>
    <n v="0"/>
    <n v="359"/>
    <n v="322"/>
    <n v="681"/>
  </r>
  <r>
    <x v="0"/>
    <x v="957"/>
    <x v="0"/>
    <n v="0"/>
    <n v="0"/>
    <n v="96"/>
    <n v="97"/>
    <n v="42"/>
    <n v="46"/>
    <n v="38"/>
    <n v="136"/>
    <n v="63"/>
    <n v="518"/>
  </r>
  <r>
    <x v="0"/>
    <x v="958"/>
    <x v="0"/>
    <n v="0"/>
    <n v="0"/>
    <n v="24"/>
    <n v="45"/>
    <n v="44"/>
    <n v="24"/>
    <n v="5"/>
    <n v="27"/>
    <n v="53"/>
    <n v="222"/>
  </r>
  <r>
    <x v="0"/>
    <x v="959"/>
    <x v="0"/>
    <n v="0"/>
    <n v="0"/>
    <n v="0"/>
    <n v="0"/>
    <n v="15"/>
    <n v="1"/>
    <n v="0"/>
    <n v="5"/>
    <n v="2"/>
    <n v="23"/>
  </r>
  <r>
    <x v="2"/>
    <x v="960"/>
    <x v="0"/>
    <n v="1"/>
    <n v="0"/>
    <n v="0"/>
    <n v="0"/>
    <n v="0"/>
    <n v="0"/>
    <n v="0"/>
    <n v="0"/>
    <n v="0"/>
    <n v="1"/>
  </r>
  <r>
    <x v="2"/>
    <x v="961"/>
    <x v="0"/>
    <n v="1"/>
    <n v="0"/>
    <n v="0"/>
    <n v="0"/>
    <n v="0"/>
    <n v="0"/>
    <n v="0"/>
    <n v="0"/>
    <n v="0"/>
    <n v="1"/>
  </r>
  <r>
    <x v="0"/>
    <x v="962"/>
    <x v="0"/>
    <n v="24"/>
    <n v="285"/>
    <n v="331"/>
    <n v="188"/>
    <n v="42"/>
    <n v="47"/>
    <n v="98"/>
    <n v="24"/>
    <n v="8"/>
    <n v="1047"/>
  </r>
  <r>
    <x v="0"/>
    <x v="963"/>
    <x v="0"/>
    <n v="0"/>
    <n v="0"/>
    <n v="0"/>
    <n v="63"/>
    <n v="8"/>
    <n v="0"/>
    <n v="4"/>
    <n v="12"/>
    <n v="33"/>
    <n v="120"/>
  </r>
  <r>
    <x v="0"/>
    <x v="964"/>
    <x v="0"/>
    <n v="0"/>
    <n v="20"/>
    <n v="0"/>
    <n v="0"/>
    <n v="0"/>
    <n v="0"/>
    <n v="5"/>
    <n v="2"/>
    <n v="0"/>
    <n v="27"/>
  </r>
  <r>
    <x v="0"/>
    <x v="965"/>
    <x v="0"/>
    <n v="0"/>
    <n v="203"/>
    <n v="770"/>
    <n v="1354"/>
    <n v="854"/>
    <n v="2236"/>
    <n v="6308"/>
    <n v="10078"/>
    <n v="5687"/>
    <n v="27490"/>
  </r>
  <r>
    <x v="2"/>
    <x v="965"/>
    <x v="0"/>
    <n v="0"/>
    <n v="0"/>
    <n v="0"/>
    <n v="3"/>
    <n v="0"/>
    <n v="0"/>
    <n v="0"/>
    <n v="0"/>
    <n v="1"/>
    <n v="4"/>
  </r>
  <r>
    <x v="0"/>
    <x v="966"/>
    <x v="0"/>
    <n v="301"/>
    <n v="344"/>
    <n v="285"/>
    <n v="447"/>
    <n v="393"/>
    <n v="520"/>
    <n v="90"/>
    <n v="40"/>
    <n v="14"/>
    <n v="2434"/>
  </r>
  <r>
    <x v="0"/>
    <x v="967"/>
    <x v="0"/>
    <n v="0"/>
    <n v="0"/>
    <n v="0"/>
    <n v="0"/>
    <n v="0"/>
    <n v="0"/>
    <n v="0"/>
    <n v="1"/>
    <n v="143"/>
    <n v="144"/>
  </r>
  <r>
    <x v="1"/>
    <x v="968"/>
    <x v="0"/>
    <n v="0"/>
    <n v="0"/>
    <n v="0"/>
    <n v="0"/>
    <n v="0"/>
    <n v="0"/>
    <n v="0"/>
    <n v="15"/>
    <n v="2"/>
    <n v="17"/>
  </r>
  <r>
    <x v="0"/>
    <x v="969"/>
    <x v="0"/>
    <n v="0"/>
    <n v="4"/>
    <n v="23"/>
    <n v="25"/>
    <n v="31"/>
    <n v="38"/>
    <n v="48"/>
    <n v="47"/>
    <n v="44"/>
    <n v="260"/>
  </r>
  <r>
    <x v="0"/>
    <x v="970"/>
    <x v="0"/>
    <n v="0"/>
    <n v="0"/>
    <n v="0"/>
    <n v="0"/>
    <n v="0"/>
    <n v="0"/>
    <n v="0"/>
    <n v="2"/>
    <n v="0"/>
    <n v="2"/>
  </r>
  <r>
    <x v="0"/>
    <x v="971"/>
    <x v="0"/>
    <n v="0"/>
    <n v="0"/>
    <n v="0"/>
    <n v="0"/>
    <n v="0"/>
    <n v="0"/>
    <n v="0"/>
    <n v="4"/>
    <n v="0"/>
    <n v="4"/>
  </r>
  <r>
    <x v="0"/>
    <x v="972"/>
    <x v="0"/>
    <n v="1"/>
    <n v="17"/>
    <n v="0"/>
    <n v="0"/>
    <n v="0"/>
    <n v="0"/>
    <n v="0"/>
    <n v="0"/>
    <n v="0"/>
    <n v="18"/>
  </r>
  <r>
    <x v="2"/>
    <x v="972"/>
    <x v="0"/>
    <n v="4"/>
    <n v="0"/>
    <n v="0"/>
    <n v="0"/>
    <n v="0"/>
    <n v="0"/>
    <n v="0"/>
    <n v="0"/>
    <n v="0"/>
    <n v="4"/>
  </r>
  <r>
    <x v="3"/>
    <x v="972"/>
    <x v="2"/>
    <n v="0"/>
    <n v="0"/>
    <n v="0"/>
    <n v="0"/>
    <n v="0"/>
    <n v="0"/>
    <n v="0"/>
    <n v="0"/>
    <n v="0"/>
    <n v="1"/>
  </r>
  <r>
    <x v="0"/>
    <x v="973"/>
    <x v="0"/>
    <n v="0"/>
    <n v="0"/>
    <n v="61"/>
    <n v="121"/>
    <n v="28"/>
    <n v="44"/>
    <n v="23"/>
    <n v="187"/>
    <n v="244"/>
    <n v="708"/>
  </r>
  <r>
    <x v="1"/>
    <x v="974"/>
    <x v="0"/>
    <n v="0"/>
    <n v="0"/>
    <n v="0"/>
    <n v="0"/>
    <n v="0"/>
    <n v="0"/>
    <n v="0"/>
    <n v="132"/>
    <n v="232"/>
    <n v="364"/>
  </r>
  <r>
    <x v="0"/>
    <x v="975"/>
    <x v="0"/>
    <n v="41"/>
    <n v="109"/>
    <n v="380"/>
    <n v="320"/>
    <n v="41"/>
    <n v="74"/>
    <n v="173"/>
    <n v="64"/>
    <n v="22"/>
    <n v="1224"/>
  </r>
  <r>
    <x v="2"/>
    <x v="975"/>
    <x v="0"/>
    <n v="0"/>
    <n v="1"/>
    <n v="0"/>
    <n v="0"/>
    <n v="0"/>
    <n v="0"/>
    <n v="0"/>
    <n v="0"/>
    <n v="0"/>
    <n v="1"/>
  </r>
  <r>
    <x v="0"/>
    <x v="976"/>
    <x v="13"/>
    <n v="252"/>
    <n v="138"/>
    <n v="13"/>
    <n v="0"/>
    <n v="0"/>
    <n v="0"/>
    <n v="0"/>
    <n v="0"/>
    <n v="0"/>
    <n v="447"/>
  </r>
  <r>
    <x v="0"/>
    <x v="977"/>
    <x v="0"/>
    <n v="0"/>
    <n v="0"/>
    <n v="0"/>
    <n v="0"/>
    <n v="0"/>
    <n v="0"/>
    <n v="8"/>
    <n v="87"/>
    <n v="20"/>
    <n v="115"/>
  </r>
  <r>
    <x v="0"/>
    <x v="978"/>
    <x v="0"/>
    <n v="0"/>
    <n v="85"/>
    <n v="64"/>
    <n v="19"/>
    <n v="11"/>
    <n v="3"/>
    <n v="1"/>
    <n v="5"/>
    <n v="2"/>
    <n v="190"/>
  </r>
  <r>
    <x v="0"/>
    <x v="979"/>
    <x v="0"/>
    <n v="14"/>
    <n v="11"/>
    <n v="0"/>
    <n v="0"/>
    <n v="0"/>
    <n v="0"/>
    <n v="0"/>
    <n v="0"/>
    <n v="0"/>
    <n v="25"/>
  </r>
  <r>
    <x v="0"/>
    <x v="980"/>
    <x v="0"/>
    <n v="33"/>
    <n v="427"/>
    <n v="900"/>
    <n v="913"/>
    <n v="891"/>
    <n v="1877"/>
    <n v="3734"/>
    <n v="4770"/>
    <n v="2228"/>
    <n v="15773"/>
  </r>
  <r>
    <x v="0"/>
    <x v="981"/>
    <x v="41"/>
    <n v="287"/>
    <n v="164"/>
    <n v="15"/>
    <n v="0"/>
    <n v="13"/>
    <n v="73"/>
    <n v="131"/>
    <n v="12"/>
    <n v="0"/>
    <n v="922"/>
  </r>
  <r>
    <x v="0"/>
    <x v="982"/>
    <x v="0"/>
    <n v="0"/>
    <n v="0"/>
    <n v="5"/>
    <n v="162"/>
    <n v="113"/>
    <n v="481"/>
    <n v="1222"/>
    <n v="2121"/>
    <n v="941"/>
    <n v="5045"/>
  </r>
  <r>
    <x v="2"/>
    <x v="983"/>
    <x v="2"/>
    <n v="0"/>
    <n v="0"/>
    <n v="0"/>
    <n v="0"/>
    <n v="0"/>
    <n v="0"/>
    <n v="0"/>
    <n v="0"/>
    <n v="0"/>
    <n v="1"/>
  </r>
  <r>
    <x v="0"/>
    <x v="984"/>
    <x v="0"/>
    <n v="1"/>
    <n v="0"/>
    <n v="0"/>
    <n v="0"/>
    <n v="0"/>
    <n v="0"/>
    <n v="0"/>
    <n v="0"/>
    <n v="0"/>
    <n v="1"/>
  </r>
  <r>
    <x v="1"/>
    <x v="985"/>
    <x v="0"/>
    <n v="0"/>
    <n v="0"/>
    <n v="0"/>
    <n v="0"/>
    <n v="0"/>
    <n v="77"/>
    <n v="60"/>
    <n v="24"/>
    <n v="0"/>
    <n v="161"/>
  </r>
  <r>
    <x v="0"/>
    <x v="986"/>
    <x v="0"/>
    <n v="0"/>
    <n v="69"/>
    <n v="141"/>
    <n v="391"/>
    <n v="311"/>
    <n v="603"/>
    <n v="1746"/>
    <n v="2248"/>
    <n v="1021"/>
    <n v="6530"/>
  </r>
  <r>
    <x v="0"/>
    <x v="987"/>
    <x v="0"/>
    <n v="0"/>
    <n v="0"/>
    <n v="0"/>
    <n v="0"/>
    <n v="0"/>
    <n v="0"/>
    <n v="340"/>
    <n v="767"/>
    <n v="620"/>
    <n v="1727"/>
  </r>
  <r>
    <x v="0"/>
    <x v="988"/>
    <x v="0"/>
    <n v="0"/>
    <n v="0"/>
    <n v="0"/>
    <n v="0"/>
    <n v="0"/>
    <n v="0"/>
    <n v="2"/>
    <n v="0"/>
    <n v="1"/>
    <n v="3"/>
  </r>
  <r>
    <x v="0"/>
    <x v="989"/>
    <x v="0"/>
    <n v="0"/>
    <n v="3"/>
    <n v="0"/>
    <n v="0"/>
    <n v="0"/>
    <n v="0"/>
    <n v="0"/>
    <n v="0"/>
    <n v="0"/>
    <n v="3"/>
  </r>
  <r>
    <x v="0"/>
    <x v="990"/>
    <x v="0"/>
    <n v="0"/>
    <n v="0"/>
    <n v="185"/>
    <n v="361"/>
    <n v="257"/>
    <n v="434"/>
    <n v="2217"/>
    <n v="2077"/>
    <n v="1133"/>
    <n v="6664"/>
  </r>
  <r>
    <x v="0"/>
    <x v="991"/>
    <x v="0"/>
    <n v="0"/>
    <n v="0"/>
    <n v="0"/>
    <n v="0"/>
    <n v="12"/>
    <n v="81"/>
    <n v="211"/>
    <n v="570"/>
    <n v="315"/>
    <n v="1189"/>
  </r>
  <r>
    <x v="0"/>
    <x v="992"/>
    <x v="0"/>
    <n v="0"/>
    <n v="0"/>
    <n v="0"/>
    <n v="0"/>
    <n v="0"/>
    <n v="0"/>
    <n v="0"/>
    <n v="0"/>
    <n v="47"/>
    <n v="47"/>
  </r>
  <r>
    <x v="0"/>
    <x v="993"/>
    <x v="0"/>
    <n v="17"/>
    <n v="30"/>
    <n v="6"/>
    <n v="0"/>
    <n v="0"/>
    <n v="0"/>
    <n v="0"/>
    <n v="0"/>
    <n v="0"/>
    <n v="53"/>
  </r>
  <r>
    <x v="0"/>
    <x v="994"/>
    <x v="0"/>
    <n v="0"/>
    <n v="0"/>
    <n v="0"/>
    <n v="0"/>
    <n v="0"/>
    <n v="0"/>
    <n v="11"/>
    <n v="175"/>
    <n v="223"/>
    <n v="409"/>
  </r>
  <r>
    <x v="0"/>
    <x v="995"/>
    <x v="0"/>
    <n v="0"/>
    <n v="0"/>
    <n v="2"/>
    <n v="0"/>
    <n v="18"/>
    <n v="10"/>
    <n v="4"/>
    <n v="0"/>
    <n v="0"/>
    <n v="34"/>
  </r>
  <r>
    <x v="1"/>
    <x v="996"/>
    <x v="0"/>
    <n v="0"/>
    <n v="0"/>
    <n v="0"/>
    <n v="0"/>
    <n v="0"/>
    <n v="0"/>
    <n v="0"/>
    <n v="0"/>
    <n v="1"/>
    <n v="1"/>
  </r>
  <r>
    <x v="0"/>
    <x v="997"/>
    <x v="0"/>
    <n v="0"/>
    <n v="9"/>
    <n v="197"/>
    <n v="345"/>
    <n v="216"/>
    <n v="78"/>
    <n v="77"/>
    <n v="286"/>
    <n v="162"/>
    <n v="1370"/>
  </r>
  <r>
    <x v="0"/>
    <x v="998"/>
    <x v="0"/>
    <n v="0"/>
    <n v="0"/>
    <n v="0"/>
    <n v="0"/>
    <n v="0"/>
    <n v="0"/>
    <n v="0"/>
    <n v="0"/>
    <n v="2"/>
    <n v="2"/>
  </r>
  <r>
    <x v="0"/>
    <x v="999"/>
    <x v="0"/>
    <n v="0"/>
    <n v="0"/>
    <n v="0"/>
    <n v="0"/>
    <n v="0"/>
    <n v="0"/>
    <n v="0"/>
    <n v="0"/>
    <n v="207"/>
    <n v="207"/>
  </r>
  <r>
    <x v="0"/>
    <x v="1000"/>
    <x v="2"/>
    <n v="3"/>
    <n v="7"/>
    <n v="4"/>
    <n v="0"/>
    <n v="0"/>
    <n v="0"/>
    <n v="0"/>
    <n v="0"/>
    <n v="0"/>
    <n v="15"/>
  </r>
  <r>
    <x v="0"/>
    <x v="1001"/>
    <x v="0"/>
    <n v="0"/>
    <n v="6"/>
    <n v="0"/>
    <n v="0"/>
    <n v="0"/>
    <n v="0"/>
    <n v="0"/>
    <n v="0"/>
    <n v="0"/>
    <n v="6"/>
  </r>
  <r>
    <x v="0"/>
    <x v="1002"/>
    <x v="0"/>
    <n v="1"/>
    <n v="1"/>
    <n v="0"/>
    <n v="0"/>
    <n v="0"/>
    <n v="0"/>
    <n v="0"/>
    <n v="0"/>
    <n v="0"/>
    <n v="2"/>
  </r>
  <r>
    <x v="0"/>
    <x v="1003"/>
    <x v="0"/>
    <n v="0"/>
    <n v="0"/>
    <n v="0"/>
    <n v="0"/>
    <n v="0"/>
    <n v="0"/>
    <n v="0"/>
    <n v="11"/>
    <n v="112"/>
    <n v="123"/>
  </r>
  <r>
    <x v="0"/>
    <x v="1004"/>
    <x v="0"/>
    <n v="0"/>
    <n v="0"/>
    <n v="0"/>
    <n v="0"/>
    <n v="0"/>
    <n v="0"/>
    <n v="0"/>
    <n v="36"/>
    <n v="31"/>
    <n v="67"/>
  </r>
  <r>
    <x v="0"/>
    <x v="1005"/>
    <x v="0"/>
    <n v="0"/>
    <n v="6"/>
    <n v="0"/>
    <n v="0"/>
    <n v="0"/>
    <n v="0"/>
    <n v="0"/>
    <n v="0"/>
    <n v="0"/>
    <n v="6"/>
  </r>
  <r>
    <x v="0"/>
    <x v="1006"/>
    <x v="0"/>
    <n v="0"/>
    <n v="0"/>
    <n v="0"/>
    <n v="0"/>
    <n v="0"/>
    <n v="1"/>
    <n v="0"/>
    <n v="0"/>
    <n v="0"/>
    <n v="1"/>
  </r>
  <r>
    <x v="0"/>
    <x v="1007"/>
    <x v="0"/>
    <n v="0"/>
    <n v="0"/>
    <n v="0"/>
    <n v="17"/>
    <n v="0"/>
    <n v="0"/>
    <n v="0"/>
    <n v="2"/>
    <n v="7"/>
    <n v="26"/>
  </r>
  <r>
    <x v="0"/>
    <x v="1008"/>
    <x v="0"/>
    <n v="0"/>
    <n v="0"/>
    <n v="0"/>
    <n v="0"/>
    <n v="9"/>
    <n v="28"/>
    <n v="82"/>
    <n v="142"/>
    <n v="52"/>
    <n v="313"/>
  </r>
  <r>
    <x v="0"/>
    <x v="1009"/>
    <x v="0"/>
    <n v="0"/>
    <n v="0"/>
    <n v="0"/>
    <n v="0"/>
    <n v="1"/>
    <n v="94"/>
    <n v="1006"/>
    <n v="1198"/>
    <n v="538"/>
    <n v="2837"/>
  </r>
  <r>
    <x v="0"/>
    <x v="1010"/>
    <x v="0"/>
    <n v="0"/>
    <n v="0"/>
    <n v="0"/>
    <n v="0"/>
    <n v="0"/>
    <n v="0"/>
    <n v="0"/>
    <n v="2"/>
    <n v="107"/>
    <n v="109"/>
  </r>
  <r>
    <x v="1"/>
    <x v="1011"/>
    <x v="0"/>
    <n v="0"/>
    <n v="0"/>
    <n v="1"/>
    <n v="0"/>
    <n v="7"/>
    <n v="8"/>
    <n v="14"/>
    <n v="128"/>
    <n v="15"/>
    <n v="173"/>
  </r>
  <r>
    <x v="0"/>
    <x v="1011"/>
    <x v="2"/>
    <n v="8"/>
    <n v="325"/>
    <n v="700"/>
    <n v="444"/>
    <n v="157"/>
    <n v="134"/>
    <n v="55"/>
    <n v="134"/>
    <n v="71"/>
    <n v="2029"/>
  </r>
  <r>
    <x v="0"/>
    <x v="1012"/>
    <x v="0"/>
    <n v="1"/>
    <n v="47"/>
    <n v="5"/>
    <n v="0"/>
    <n v="2"/>
    <n v="0"/>
    <n v="0"/>
    <n v="1"/>
    <n v="0"/>
    <n v="56"/>
  </r>
  <r>
    <x v="0"/>
    <x v="1013"/>
    <x v="0"/>
    <n v="0"/>
    <n v="3"/>
    <n v="111"/>
    <n v="82"/>
    <n v="116"/>
    <n v="356"/>
    <n v="1038"/>
    <n v="2020"/>
    <n v="1390"/>
    <n v="5116"/>
  </r>
  <r>
    <x v="2"/>
    <x v="1013"/>
    <x v="0"/>
    <n v="0"/>
    <n v="0"/>
    <n v="0"/>
    <n v="0"/>
    <n v="0"/>
    <n v="0"/>
    <n v="0"/>
    <n v="0"/>
    <n v="1"/>
    <n v="1"/>
  </r>
  <r>
    <x v="0"/>
    <x v="1014"/>
    <x v="0"/>
    <n v="0"/>
    <n v="0"/>
    <n v="0"/>
    <n v="0"/>
    <n v="0"/>
    <n v="0"/>
    <n v="0"/>
    <n v="0"/>
    <n v="50"/>
    <n v="50"/>
  </r>
  <r>
    <x v="0"/>
    <x v="1015"/>
    <x v="0"/>
    <n v="0"/>
    <n v="0"/>
    <n v="0"/>
    <n v="0"/>
    <n v="0"/>
    <n v="64"/>
    <n v="244"/>
    <n v="434"/>
    <n v="219"/>
    <n v="961"/>
  </r>
  <r>
    <x v="0"/>
    <x v="1016"/>
    <x v="0"/>
    <n v="0"/>
    <n v="0"/>
    <n v="0"/>
    <n v="0"/>
    <n v="2"/>
    <n v="0"/>
    <n v="0"/>
    <n v="4"/>
    <n v="3"/>
    <n v="9"/>
  </r>
  <r>
    <x v="0"/>
    <x v="1017"/>
    <x v="0"/>
    <n v="0"/>
    <n v="0"/>
    <n v="0"/>
    <n v="0"/>
    <n v="0"/>
    <n v="0"/>
    <n v="0"/>
    <n v="16"/>
    <n v="13"/>
    <n v="29"/>
  </r>
  <r>
    <x v="2"/>
    <x v="1018"/>
    <x v="2"/>
    <n v="2"/>
    <n v="0"/>
    <n v="0"/>
    <n v="0"/>
    <n v="0"/>
    <n v="0"/>
    <n v="0"/>
    <n v="0"/>
    <n v="0"/>
    <n v="3"/>
  </r>
  <r>
    <x v="1"/>
    <x v="1019"/>
    <x v="42"/>
    <n v="24"/>
    <n v="20"/>
    <n v="2"/>
    <n v="1"/>
    <n v="0"/>
    <n v="0"/>
    <n v="9"/>
    <n v="0"/>
    <n v="0"/>
    <n v="73"/>
  </r>
  <r>
    <x v="0"/>
    <x v="1019"/>
    <x v="0"/>
    <n v="0"/>
    <n v="1"/>
    <n v="0"/>
    <n v="0"/>
    <n v="0"/>
    <n v="0"/>
    <n v="0"/>
    <n v="0"/>
    <n v="0"/>
    <n v="1"/>
  </r>
  <r>
    <x v="0"/>
    <x v="1020"/>
    <x v="0"/>
    <n v="0"/>
    <n v="0"/>
    <n v="0"/>
    <n v="0"/>
    <n v="0"/>
    <n v="0"/>
    <n v="0"/>
    <n v="84"/>
    <n v="17"/>
    <n v="101"/>
  </r>
  <r>
    <x v="0"/>
    <x v="1021"/>
    <x v="0"/>
    <n v="0"/>
    <n v="0"/>
    <n v="19"/>
    <n v="18"/>
    <n v="0"/>
    <n v="0"/>
    <n v="0"/>
    <n v="0"/>
    <n v="0"/>
    <n v="37"/>
  </r>
  <r>
    <x v="0"/>
    <x v="1022"/>
    <x v="0"/>
    <n v="0"/>
    <n v="0"/>
    <n v="0"/>
    <n v="0"/>
    <n v="0"/>
    <n v="15"/>
    <n v="7"/>
    <n v="5"/>
    <n v="4"/>
    <n v="31"/>
  </r>
  <r>
    <x v="0"/>
    <x v="1023"/>
    <x v="0"/>
    <n v="0"/>
    <n v="0"/>
    <n v="0"/>
    <n v="27"/>
    <n v="40"/>
    <n v="0"/>
    <n v="0"/>
    <n v="0"/>
    <n v="1"/>
    <n v="68"/>
  </r>
  <r>
    <x v="2"/>
    <x v="1024"/>
    <x v="0"/>
    <n v="0"/>
    <n v="0"/>
    <n v="0"/>
    <n v="0"/>
    <n v="0"/>
    <n v="0"/>
    <n v="1"/>
    <n v="0"/>
    <n v="84"/>
    <n v="85"/>
  </r>
  <r>
    <x v="0"/>
    <x v="1025"/>
    <x v="0"/>
    <n v="0"/>
    <n v="0"/>
    <n v="0"/>
    <n v="11"/>
    <n v="13"/>
    <n v="58"/>
    <n v="227"/>
    <n v="77"/>
    <n v="51"/>
    <n v="437"/>
  </r>
  <r>
    <x v="0"/>
    <x v="1026"/>
    <x v="0"/>
    <n v="0"/>
    <n v="0"/>
    <n v="2"/>
    <n v="145"/>
    <n v="161"/>
    <n v="326"/>
    <n v="1240"/>
    <n v="2845"/>
    <n v="1948"/>
    <n v="6667"/>
  </r>
  <r>
    <x v="0"/>
    <x v="1027"/>
    <x v="0"/>
    <n v="0"/>
    <n v="1"/>
    <n v="0"/>
    <n v="0"/>
    <n v="0"/>
    <n v="0"/>
    <n v="0"/>
    <n v="0"/>
    <n v="0"/>
    <n v="1"/>
  </r>
  <r>
    <x v="2"/>
    <x v="1027"/>
    <x v="0"/>
    <n v="1"/>
    <n v="0"/>
    <n v="1"/>
    <n v="0"/>
    <n v="0"/>
    <n v="0"/>
    <n v="0"/>
    <n v="0"/>
    <n v="0"/>
    <n v="2"/>
  </r>
  <r>
    <x v="0"/>
    <x v="1028"/>
    <x v="0"/>
    <n v="0"/>
    <n v="0"/>
    <n v="1"/>
    <n v="0"/>
    <n v="0"/>
    <n v="0"/>
    <n v="0"/>
    <n v="0"/>
    <n v="0"/>
    <n v="1"/>
  </r>
  <r>
    <x v="0"/>
    <x v="1029"/>
    <x v="0"/>
    <n v="0"/>
    <n v="0"/>
    <n v="0"/>
    <n v="0"/>
    <n v="0"/>
    <n v="0"/>
    <n v="6"/>
    <n v="11"/>
    <n v="3"/>
    <n v="20"/>
  </r>
  <r>
    <x v="0"/>
    <x v="1030"/>
    <x v="0"/>
    <n v="0"/>
    <n v="0"/>
    <n v="0"/>
    <n v="0"/>
    <n v="0"/>
    <n v="0"/>
    <n v="0"/>
    <n v="26"/>
    <n v="54"/>
    <n v="80"/>
  </r>
  <r>
    <x v="1"/>
    <x v="1031"/>
    <x v="0"/>
    <n v="2"/>
    <n v="0"/>
    <n v="0"/>
    <n v="0"/>
    <n v="0"/>
    <n v="0"/>
    <n v="0"/>
    <n v="0"/>
    <n v="0"/>
    <n v="2"/>
  </r>
  <r>
    <x v="0"/>
    <x v="1031"/>
    <x v="0"/>
    <n v="0"/>
    <n v="1"/>
    <n v="0"/>
    <n v="0"/>
    <n v="0"/>
    <n v="0"/>
    <n v="0"/>
    <n v="0"/>
    <n v="1"/>
    <n v="2"/>
  </r>
  <r>
    <x v="2"/>
    <x v="1031"/>
    <x v="32"/>
    <n v="10"/>
    <n v="3"/>
    <n v="144"/>
    <n v="419"/>
    <n v="2717"/>
    <n v="10033"/>
    <n v="1621"/>
    <n v="1766"/>
    <n v="3076"/>
    <n v="19798"/>
  </r>
  <r>
    <x v="3"/>
    <x v="1031"/>
    <x v="2"/>
    <n v="0"/>
    <n v="4"/>
    <n v="4"/>
    <n v="119"/>
    <n v="26"/>
    <n v="253"/>
    <n v="15"/>
    <n v="275"/>
    <n v="5"/>
    <n v="702"/>
  </r>
  <r>
    <x v="2"/>
    <x v="1032"/>
    <x v="0"/>
    <n v="0"/>
    <n v="0"/>
    <n v="0"/>
    <n v="0"/>
    <n v="0"/>
    <n v="0"/>
    <n v="30610"/>
    <n v="21420"/>
    <n v="490"/>
    <n v="52520"/>
  </r>
  <r>
    <x v="2"/>
    <x v="1033"/>
    <x v="0"/>
    <n v="0"/>
    <n v="0"/>
    <n v="0"/>
    <n v="0"/>
    <n v="0"/>
    <n v="0"/>
    <n v="0"/>
    <n v="38580"/>
    <n v="35830"/>
    <n v="74410"/>
  </r>
  <r>
    <x v="0"/>
    <x v="1034"/>
    <x v="0"/>
    <n v="0"/>
    <n v="0"/>
    <n v="0"/>
    <n v="35"/>
    <n v="24"/>
    <n v="76"/>
    <n v="234"/>
    <n v="346"/>
    <n v="170"/>
    <n v="885"/>
  </r>
  <r>
    <x v="0"/>
    <x v="1035"/>
    <x v="0"/>
    <n v="0"/>
    <n v="0"/>
    <n v="24"/>
    <n v="141"/>
    <n v="16"/>
    <n v="7"/>
    <n v="42"/>
    <n v="1"/>
    <n v="0"/>
    <n v="231"/>
  </r>
  <r>
    <x v="2"/>
    <x v="1036"/>
    <x v="0"/>
    <n v="0"/>
    <n v="0"/>
    <n v="0"/>
    <n v="0"/>
    <n v="0"/>
    <n v="1"/>
    <n v="0"/>
    <n v="0"/>
    <n v="0"/>
    <n v="1"/>
  </r>
  <r>
    <x v="0"/>
    <x v="1037"/>
    <x v="0"/>
    <n v="15"/>
    <n v="6"/>
    <n v="1"/>
    <n v="0"/>
    <n v="0"/>
    <n v="0"/>
    <n v="0"/>
    <n v="0"/>
    <n v="0"/>
    <n v="22"/>
  </r>
  <r>
    <x v="0"/>
    <x v="1038"/>
    <x v="0"/>
    <n v="64"/>
    <n v="893"/>
    <n v="2704"/>
    <n v="3545"/>
    <n v="2631"/>
    <n v="3404"/>
    <n v="7876"/>
    <n v="8810"/>
    <n v="4959"/>
    <n v="34886"/>
  </r>
  <r>
    <x v="2"/>
    <x v="1038"/>
    <x v="0"/>
    <n v="0"/>
    <n v="0"/>
    <n v="0"/>
    <n v="1"/>
    <n v="0"/>
    <n v="0"/>
    <n v="0"/>
    <n v="0"/>
    <n v="0"/>
    <n v="1"/>
  </r>
  <r>
    <x v="0"/>
    <x v="1039"/>
    <x v="0"/>
    <n v="0"/>
    <n v="0"/>
    <n v="0"/>
    <n v="32"/>
    <n v="14"/>
    <n v="38"/>
    <n v="79"/>
    <n v="58"/>
    <n v="4"/>
    <n v="225"/>
  </r>
  <r>
    <x v="2"/>
    <x v="1039"/>
    <x v="0"/>
    <n v="0"/>
    <n v="0"/>
    <n v="0"/>
    <n v="1"/>
    <n v="0"/>
    <n v="0"/>
    <n v="0"/>
    <n v="0"/>
    <n v="0"/>
    <n v="1"/>
  </r>
  <r>
    <x v="0"/>
    <x v="1040"/>
    <x v="0"/>
    <n v="0"/>
    <n v="0"/>
    <n v="0"/>
    <n v="0"/>
    <n v="0"/>
    <n v="0"/>
    <n v="0"/>
    <n v="8"/>
    <n v="10"/>
    <n v="18"/>
  </r>
  <r>
    <x v="1"/>
    <x v="1041"/>
    <x v="0"/>
    <n v="0"/>
    <n v="0"/>
    <n v="0"/>
    <n v="0"/>
    <n v="0"/>
    <n v="0"/>
    <n v="1"/>
    <n v="48"/>
    <n v="8"/>
    <n v="57"/>
  </r>
  <r>
    <x v="0"/>
    <x v="1041"/>
    <x v="43"/>
    <n v="1493"/>
    <n v="1825"/>
    <n v="2850"/>
    <n v="3303"/>
    <n v="1986"/>
    <n v="3895"/>
    <n v="5915"/>
    <n v="7271"/>
    <n v="3924"/>
    <n v="32788"/>
  </r>
  <r>
    <x v="0"/>
    <x v="1042"/>
    <x v="0"/>
    <n v="0"/>
    <n v="0"/>
    <n v="0"/>
    <n v="0"/>
    <n v="0"/>
    <n v="0"/>
    <n v="1"/>
    <n v="1273"/>
    <n v="3139"/>
    <n v="4413"/>
  </r>
  <r>
    <x v="0"/>
    <x v="1043"/>
    <x v="0"/>
    <n v="14"/>
    <n v="58"/>
    <n v="919"/>
    <n v="1103"/>
    <n v="869"/>
    <n v="943"/>
    <n v="1382"/>
    <n v="1743"/>
    <n v="809"/>
    <n v="7840"/>
  </r>
  <r>
    <x v="1"/>
    <x v="1044"/>
    <x v="0"/>
    <n v="0"/>
    <n v="0"/>
    <n v="0"/>
    <n v="0"/>
    <n v="1"/>
    <n v="0"/>
    <n v="319"/>
    <n v="1589"/>
    <n v="931"/>
    <n v="2840"/>
  </r>
  <r>
    <x v="0"/>
    <x v="1045"/>
    <x v="0"/>
    <n v="0"/>
    <n v="0"/>
    <n v="1"/>
    <n v="0"/>
    <n v="0"/>
    <n v="0"/>
    <n v="0"/>
    <n v="0"/>
    <n v="0"/>
    <n v="1"/>
  </r>
  <r>
    <x v="2"/>
    <x v="1045"/>
    <x v="19"/>
    <n v="24"/>
    <n v="12"/>
    <n v="28"/>
    <n v="3"/>
    <n v="0"/>
    <n v="6"/>
    <n v="1"/>
    <n v="0"/>
    <n v="0"/>
    <n v="93"/>
  </r>
  <r>
    <x v="2"/>
    <x v="1046"/>
    <x v="0"/>
    <n v="0"/>
    <n v="0"/>
    <n v="0"/>
    <n v="1"/>
    <n v="0"/>
    <n v="3"/>
    <n v="0"/>
    <n v="0"/>
    <n v="0"/>
    <n v="4"/>
  </r>
  <r>
    <x v="0"/>
    <x v="1047"/>
    <x v="0"/>
    <n v="0"/>
    <n v="0"/>
    <n v="0"/>
    <n v="9"/>
    <n v="0"/>
    <n v="0"/>
    <n v="0"/>
    <n v="0"/>
    <n v="0"/>
    <n v="9"/>
  </r>
  <r>
    <x v="0"/>
    <x v="1048"/>
    <x v="0"/>
    <n v="0"/>
    <n v="0"/>
    <n v="0"/>
    <n v="0"/>
    <n v="2"/>
    <n v="13"/>
    <n v="9"/>
    <n v="57"/>
    <n v="120"/>
    <n v="201"/>
  </r>
  <r>
    <x v="0"/>
    <x v="1049"/>
    <x v="0"/>
    <n v="0"/>
    <n v="0"/>
    <n v="11"/>
    <n v="108"/>
    <n v="146"/>
    <n v="416"/>
    <n v="1355"/>
    <n v="1361"/>
    <n v="422"/>
    <n v="3819"/>
  </r>
  <r>
    <x v="0"/>
    <x v="1050"/>
    <x v="0"/>
    <n v="0"/>
    <n v="2"/>
    <n v="71"/>
    <n v="61"/>
    <n v="10"/>
    <n v="2"/>
    <n v="0"/>
    <n v="10"/>
    <n v="1"/>
    <n v="157"/>
  </r>
  <r>
    <x v="0"/>
    <x v="1051"/>
    <x v="0"/>
    <n v="0"/>
    <n v="0"/>
    <n v="5"/>
    <n v="6"/>
    <n v="0"/>
    <n v="0"/>
    <n v="0"/>
    <n v="3"/>
    <n v="4"/>
    <n v="18"/>
  </r>
  <r>
    <x v="0"/>
    <x v="1052"/>
    <x v="0"/>
    <n v="5"/>
    <n v="42"/>
    <n v="47"/>
    <n v="26"/>
    <n v="5"/>
    <n v="0"/>
    <n v="7"/>
    <n v="296"/>
    <n v="227"/>
    <n v="655"/>
  </r>
  <r>
    <x v="0"/>
    <x v="1053"/>
    <x v="0"/>
    <n v="0"/>
    <n v="0"/>
    <n v="0"/>
    <n v="10"/>
    <n v="35"/>
    <n v="35"/>
    <n v="29"/>
    <n v="30"/>
    <n v="9"/>
    <n v="148"/>
  </r>
  <r>
    <x v="0"/>
    <x v="1054"/>
    <x v="0"/>
    <n v="0"/>
    <n v="0"/>
    <n v="0"/>
    <n v="208"/>
    <n v="82"/>
    <n v="193"/>
    <n v="391"/>
    <n v="987"/>
    <n v="460"/>
    <n v="2321"/>
  </r>
  <r>
    <x v="1"/>
    <x v="1055"/>
    <x v="0"/>
    <n v="0"/>
    <n v="0"/>
    <n v="0"/>
    <n v="0"/>
    <n v="0"/>
    <n v="1"/>
    <n v="58"/>
    <n v="44"/>
    <n v="16"/>
    <n v="119"/>
  </r>
  <r>
    <x v="1"/>
    <x v="1056"/>
    <x v="44"/>
    <n v="171"/>
    <n v="69"/>
    <n v="23"/>
    <n v="30"/>
    <n v="233"/>
    <n v="5258"/>
    <n v="47182"/>
    <n v="166580"/>
    <n v="98516"/>
    <n v="318227"/>
  </r>
  <r>
    <x v="0"/>
    <x v="1056"/>
    <x v="8"/>
    <n v="6"/>
    <n v="6"/>
    <n v="3"/>
    <n v="0"/>
    <n v="0"/>
    <n v="0"/>
    <n v="5"/>
    <n v="97"/>
    <n v="99"/>
    <n v="218"/>
  </r>
  <r>
    <x v="0"/>
    <x v="1057"/>
    <x v="0"/>
    <n v="0"/>
    <n v="0"/>
    <n v="0"/>
    <n v="19"/>
    <n v="4"/>
    <n v="6"/>
    <n v="6"/>
    <n v="11"/>
    <n v="6"/>
    <n v="52"/>
  </r>
  <r>
    <x v="0"/>
    <x v="1058"/>
    <x v="0"/>
    <n v="4"/>
    <n v="357"/>
    <n v="356"/>
    <n v="448"/>
    <n v="454"/>
    <n v="311"/>
    <n v="476"/>
    <n v="1505"/>
    <n v="449"/>
    <n v="4360"/>
  </r>
  <r>
    <x v="0"/>
    <x v="1059"/>
    <x v="0"/>
    <n v="0"/>
    <n v="0"/>
    <n v="260"/>
    <n v="368"/>
    <n v="289"/>
    <n v="940"/>
    <n v="2724"/>
    <n v="3848"/>
    <n v="2002"/>
    <n v="10431"/>
  </r>
  <r>
    <x v="1"/>
    <x v="1060"/>
    <x v="0"/>
    <n v="0"/>
    <n v="0"/>
    <n v="0"/>
    <n v="0"/>
    <n v="2"/>
    <n v="25"/>
    <n v="40"/>
    <n v="31"/>
    <n v="6"/>
    <n v="104"/>
  </r>
  <r>
    <x v="0"/>
    <x v="1061"/>
    <x v="45"/>
    <n v="210"/>
    <n v="135"/>
    <n v="1"/>
    <n v="4"/>
    <n v="0"/>
    <n v="0"/>
    <n v="15"/>
    <n v="3"/>
    <n v="0"/>
    <n v="390"/>
  </r>
  <r>
    <x v="0"/>
    <x v="1062"/>
    <x v="0"/>
    <n v="0"/>
    <n v="0"/>
    <n v="45"/>
    <n v="34"/>
    <n v="16"/>
    <n v="0"/>
    <n v="0"/>
    <n v="0"/>
    <n v="0"/>
    <n v="95"/>
  </r>
  <r>
    <x v="0"/>
    <x v="1063"/>
    <x v="0"/>
    <n v="299"/>
    <n v="791"/>
    <n v="581"/>
    <n v="656"/>
    <n v="304"/>
    <n v="499"/>
    <n v="1978"/>
    <n v="2438"/>
    <n v="1760"/>
    <n v="9306"/>
  </r>
  <r>
    <x v="2"/>
    <x v="1063"/>
    <x v="0"/>
    <n v="0"/>
    <n v="0"/>
    <n v="0"/>
    <n v="0"/>
    <n v="0"/>
    <n v="0"/>
    <n v="1"/>
    <n v="2"/>
    <n v="0"/>
    <n v="3"/>
  </r>
  <r>
    <x v="1"/>
    <x v="1064"/>
    <x v="0"/>
    <n v="0"/>
    <n v="0"/>
    <n v="0"/>
    <n v="0"/>
    <n v="0"/>
    <n v="0"/>
    <n v="0"/>
    <n v="256"/>
    <n v="69"/>
    <n v="325"/>
  </r>
  <r>
    <x v="0"/>
    <x v="1065"/>
    <x v="0"/>
    <n v="3"/>
    <n v="23"/>
    <n v="126"/>
    <n v="41"/>
    <n v="2"/>
    <n v="1"/>
    <n v="34"/>
    <n v="137"/>
    <n v="50"/>
    <n v="417"/>
  </r>
  <r>
    <x v="0"/>
    <x v="1066"/>
    <x v="0"/>
    <n v="1"/>
    <n v="0"/>
    <n v="6"/>
    <n v="1"/>
    <n v="0"/>
    <n v="0"/>
    <n v="0"/>
    <n v="0"/>
    <n v="0"/>
    <n v="8"/>
  </r>
  <r>
    <x v="0"/>
    <x v="1067"/>
    <x v="0"/>
    <n v="0"/>
    <n v="0"/>
    <n v="26"/>
    <n v="99"/>
    <n v="37"/>
    <n v="72"/>
    <n v="191"/>
    <n v="211"/>
    <n v="125"/>
    <n v="761"/>
  </r>
  <r>
    <x v="0"/>
    <x v="1068"/>
    <x v="0"/>
    <n v="0"/>
    <n v="13"/>
    <n v="0"/>
    <n v="0"/>
    <n v="0"/>
    <n v="0"/>
    <n v="0"/>
    <n v="0"/>
    <n v="0"/>
    <n v="13"/>
  </r>
  <r>
    <x v="0"/>
    <x v="1069"/>
    <x v="0"/>
    <n v="0"/>
    <n v="1"/>
    <n v="2"/>
    <n v="1"/>
    <n v="0"/>
    <n v="3"/>
    <n v="0"/>
    <n v="0"/>
    <n v="0"/>
    <n v="7"/>
  </r>
  <r>
    <x v="0"/>
    <x v="1070"/>
    <x v="0"/>
    <n v="0"/>
    <n v="0"/>
    <n v="0"/>
    <n v="0"/>
    <n v="0"/>
    <n v="0"/>
    <n v="0"/>
    <n v="26"/>
    <n v="874"/>
    <n v="900"/>
  </r>
  <r>
    <x v="0"/>
    <x v="1071"/>
    <x v="0"/>
    <n v="0"/>
    <n v="1"/>
    <n v="174"/>
    <n v="313"/>
    <n v="185"/>
    <n v="778"/>
    <n v="1671"/>
    <n v="3580"/>
    <n v="2132"/>
    <n v="8834"/>
  </r>
  <r>
    <x v="0"/>
    <x v="1072"/>
    <x v="0"/>
    <n v="0"/>
    <n v="266"/>
    <n v="1515"/>
    <n v="2125"/>
    <n v="1776"/>
    <n v="3988"/>
    <n v="10246"/>
    <n v="13572"/>
    <n v="8121"/>
    <n v="41609"/>
  </r>
  <r>
    <x v="2"/>
    <x v="1072"/>
    <x v="0"/>
    <n v="0"/>
    <n v="0"/>
    <n v="0"/>
    <n v="0"/>
    <n v="0"/>
    <n v="0"/>
    <n v="3"/>
    <n v="3"/>
    <n v="0"/>
    <n v="6"/>
  </r>
  <r>
    <x v="0"/>
    <x v="1073"/>
    <x v="0"/>
    <n v="1"/>
    <n v="0"/>
    <n v="0"/>
    <n v="0"/>
    <n v="0"/>
    <n v="0"/>
    <n v="0"/>
    <n v="0"/>
    <n v="0"/>
    <n v="1"/>
  </r>
  <r>
    <x v="0"/>
    <x v="1074"/>
    <x v="0"/>
    <n v="0"/>
    <n v="42"/>
    <n v="657"/>
    <n v="788"/>
    <n v="291"/>
    <n v="226"/>
    <n v="321"/>
    <n v="272"/>
    <n v="194"/>
    <n v="2791"/>
  </r>
  <r>
    <x v="0"/>
    <x v="1075"/>
    <x v="0"/>
    <n v="0"/>
    <n v="0"/>
    <n v="3"/>
    <n v="0"/>
    <n v="0"/>
    <n v="0"/>
    <n v="0"/>
    <n v="0"/>
    <n v="0"/>
    <n v="3"/>
  </r>
  <r>
    <x v="0"/>
    <x v="1076"/>
    <x v="0"/>
    <n v="0"/>
    <n v="0"/>
    <n v="0"/>
    <n v="0"/>
    <n v="0"/>
    <n v="0"/>
    <n v="156"/>
    <n v="355"/>
    <n v="208"/>
    <n v="719"/>
  </r>
  <r>
    <x v="0"/>
    <x v="1077"/>
    <x v="0"/>
    <n v="0"/>
    <n v="0"/>
    <n v="0"/>
    <n v="0"/>
    <n v="0"/>
    <n v="0"/>
    <n v="0"/>
    <n v="0"/>
    <n v="17"/>
    <n v="17"/>
  </r>
  <r>
    <x v="0"/>
    <x v="1078"/>
    <x v="0"/>
    <n v="36"/>
    <n v="0"/>
    <n v="0"/>
    <n v="0"/>
    <n v="0"/>
    <n v="0"/>
    <n v="0"/>
    <n v="0"/>
    <n v="0"/>
    <n v="36"/>
  </r>
  <r>
    <x v="0"/>
    <x v="1079"/>
    <x v="0"/>
    <n v="0"/>
    <n v="50"/>
    <n v="258"/>
    <n v="197"/>
    <n v="82"/>
    <n v="59"/>
    <n v="59"/>
    <n v="9"/>
    <n v="0"/>
    <n v="714"/>
  </r>
  <r>
    <x v="0"/>
    <x v="1080"/>
    <x v="0"/>
    <n v="0"/>
    <n v="3"/>
    <n v="1"/>
    <n v="0"/>
    <n v="0"/>
    <n v="0"/>
    <n v="0"/>
    <n v="0"/>
    <n v="0"/>
    <n v="4"/>
  </r>
  <r>
    <x v="0"/>
    <x v="1081"/>
    <x v="0"/>
    <n v="6"/>
    <n v="3"/>
    <n v="113"/>
    <n v="103"/>
    <n v="152"/>
    <n v="78"/>
    <n v="72"/>
    <n v="26"/>
    <n v="3"/>
    <n v="556"/>
  </r>
  <r>
    <x v="0"/>
    <x v="1082"/>
    <x v="0"/>
    <n v="0"/>
    <n v="0"/>
    <n v="0"/>
    <n v="0"/>
    <n v="0"/>
    <n v="12"/>
    <n v="17"/>
    <n v="23"/>
    <n v="89"/>
    <n v="141"/>
  </r>
  <r>
    <x v="0"/>
    <x v="1083"/>
    <x v="0"/>
    <n v="0"/>
    <n v="211"/>
    <n v="1996"/>
    <n v="3217"/>
    <n v="3083"/>
    <n v="3924"/>
    <n v="5969"/>
    <n v="7832"/>
    <n v="4577"/>
    <n v="30809"/>
  </r>
  <r>
    <x v="0"/>
    <x v="1084"/>
    <x v="0"/>
    <n v="0"/>
    <n v="0"/>
    <n v="1"/>
    <n v="4"/>
    <n v="1"/>
    <n v="0"/>
    <n v="0"/>
    <n v="0"/>
    <n v="0"/>
    <n v="6"/>
  </r>
  <r>
    <x v="0"/>
    <x v="1085"/>
    <x v="0"/>
    <n v="1"/>
    <n v="3"/>
    <n v="0"/>
    <n v="0"/>
    <n v="0"/>
    <n v="0"/>
    <n v="0"/>
    <n v="0"/>
    <n v="0"/>
    <n v="4"/>
  </r>
  <r>
    <x v="0"/>
    <x v="1086"/>
    <x v="0"/>
    <n v="9"/>
    <n v="12"/>
    <n v="0"/>
    <n v="0"/>
    <n v="0"/>
    <n v="0"/>
    <n v="0"/>
    <n v="0"/>
    <n v="0"/>
    <n v="21"/>
  </r>
  <r>
    <x v="2"/>
    <x v="1086"/>
    <x v="0"/>
    <n v="0"/>
    <n v="0"/>
    <n v="0"/>
    <n v="0"/>
    <n v="0"/>
    <n v="0"/>
    <n v="0"/>
    <n v="6"/>
    <n v="27"/>
    <n v="33"/>
  </r>
  <r>
    <x v="3"/>
    <x v="1086"/>
    <x v="0"/>
    <n v="0"/>
    <n v="0"/>
    <n v="3"/>
    <n v="0"/>
    <n v="0"/>
    <n v="0"/>
    <n v="7"/>
    <n v="0"/>
    <n v="0"/>
    <n v="10"/>
  </r>
  <r>
    <x v="0"/>
    <x v="1087"/>
    <x v="0"/>
    <n v="0"/>
    <n v="0"/>
    <n v="0"/>
    <n v="0"/>
    <n v="0"/>
    <n v="1"/>
    <n v="6"/>
    <n v="11"/>
    <n v="3"/>
    <n v="21"/>
  </r>
  <r>
    <x v="2"/>
    <x v="1087"/>
    <x v="0"/>
    <n v="0"/>
    <n v="0"/>
    <n v="0"/>
    <n v="0"/>
    <n v="0"/>
    <n v="1"/>
    <n v="0"/>
    <n v="0"/>
    <n v="0"/>
    <n v="1"/>
  </r>
  <r>
    <x v="0"/>
    <x v="1088"/>
    <x v="0"/>
    <n v="0"/>
    <n v="0"/>
    <n v="9"/>
    <n v="38"/>
    <n v="22"/>
    <n v="24"/>
    <n v="132"/>
    <n v="171"/>
    <n v="59"/>
    <n v="455"/>
  </r>
  <r>
    <x v="3"/>
    <x v="1089"/>
    <x v="0"/>
    <n v="0"/>
    <n v="0"/>
    <n v="0"/>
    <n v="0"/>
    <n v="0"/>
    <n v="0"/>
    <n v="0"/>
    <n v="1"/>
    <n v="8"/>
    <n v="9"/>
  </r>
  <r>
    <x v="0"/>
    <x v="1090"/>
    <x v="0"/>
    <n v="5"/>
    <n v="22"/>
    <n v="0"/>
    <n v="0"/>
    <n v="0"/>
    <n v="0"/>
    <n v="0"/>
    <n v="0"/>
    <n v="0"/>
    <n v="27"/>
  </r>
  <r>
    <x v="0"/>
    <x v="1091"/>
    <x v="0"/>
    <n v="2"/>
    <n v="3"/>
    <n v="0"/>
    <n v="0"/>
    <n v="0"/>
    <n v="0"/>
    <n v="0"/>
    <n v="0"/>
    <n v="0"/>
    <n v="5"/>
  </r>
  <r>
    <x v="0"/>
    <x v="1092"/>
    <x v="0"/>
    <n v="1"/>
    <n v="282"/>
    <n v="329"/>
    <n v="306"/>
    <n v="212"/>
    <n v="329"/>
    <n v="398"/>
    <n v="574"/>
    <n v="204"/>
    <n v="2635"/>
  </r>
  <r>
    <x v="0"/>
    <x v="1093"/>
    <x v="0"/>
    <n v="4"/>
    <n v="10"/>
    <n v="8"/>
    <n v="39"/>
    <n v="1"/>
    <n v="27"/>
    <n v="0"/>
    <n v="0"/>
    <n v="0"/>
    <n v="89"/>
  </r>
  <r>
    <x v="0"/>
    <x v="1094"/>
    <x v="9"/>
    <n v="4"/>
    <n v="8"/>
    <n v="4"/>
    <n v="0"/>
    <n v="0"/>
    <n v="0"/>
    <n v="0"/>
    <n v="0"/>
    <n v="0"/>
    <n v="20"/>
  </r>
  <r>
    <x v="2"/>
    <x v="1094"/>
    <x v="0"/>
    <n v="0"/>
    <n v="13"/>
    <n v="15"/>
    <n v="0"/>
    <n v="0"/>
    <n v="0"/>
    <n v="0"/>
    <n v="0"/>
    <n v="0"/>
    <n v="28"/>
  </r>
  <r>
    <x v="0"/>
    <x v="1095"/>
    <x v="0"/>
    <n v="0"/>
    <n v="1"/>
    <n v="0"/>
    <n v="0"/>
    <n v="0"/>
    <n v="0"/>
    <n v="0"/>
    <n v="0"/>
    <n v="0"/>
    <n v="1"/>
  </r>
  <r>
    <x v="0"/>
    <x v="1096"/>
    <x v="0"/>
    <n v="49"/>
    <n v="79"/>
    <n v="7"/>
    <n v="0"/>
    <n v="0"/>
    <n v="0"/>
    <n v="0"/>
    <n v="0"/>
    <n v="0"/>
    <n v="135"/>
  </r>
  <r>
    <x v="2"/>
    <x v="1096"/>
    <x v="8"/>
    <n v="0"/>
    <n v="0"/>
    <n v="0"/>
    <n v="0"/>
    <n v="0"/>
    <n v="0"/>
    <n v="0"/>
    <n v="0"/>
    <n v="0"/>
    <n v="2"/>
  </r>
  <r>
    <x v="0"/>
    <x v="1097"/>
    <x v="0"/>
    <n v="0"/>
    <n v="59"/>
    <n v="59"/>
    <n v="15"/>
    <n v="2"/>
    <n v="1"/>
    <n v="10"/>
    <n v="25"/>
    <n v="2"/>
    <n v="173"/>
  </r>
  <r>
    <x v="0"/>
    <x v="1098"/>
    <x v="46"/>
    <n v="846"/>
    <n v="1466"/>
    <n v="2381"/>
    <n v="1971"/>
    <n v="858"/>
    <n v="1243"/>
    <n v="2135"/>
    <n v="3319"/>
    <n v="1402"/>
    <n v="15728"/>
  </r>
  <r>
    <x v="2"/>
    <x v="1098"/>
    <x v="0"/>
    <n v="2"/>
    <n v="3"/>
    <n v="1"/>
    <n v="1"/>
    <n v="0"/>
    <n v="0"/>
    <n v="0"/>
    <n v="0"/>
    <n v="0"/>
    <n v="7"/>
  </r>
  <r>
    <x v="0"/>
    <x v="1099"/>
    <x v="0"/>
    <n v="0"/>
    <n v="0"/>
    <n v="0"/>
    <n v="0"/>
    <n v="0"/>
    <n v="35"/>
    <n v="193"/>
    <n v="256"/>
    <n v="138"/>
    <n v="622"/>
  </r>
  <r>
    <x v="0"/>
    <x v="1100"/>
    <x v="0"/>
    <n v="0"/>
    <n v="1"/>
    <n v="0"/>
    <n v="0"/>
    <n v="0"/>
    <n v="0"/>
    <n v="0"/>
    <n v="0"/>
    <n v="0"/>
    <n v="1"/>
  </r>
  <r>
    <x v="0"/>
    <x v="1101"/>
    <x v="0"/>
    <n v="0"/>
    <n v="0"/>
    <n v="0"/>
    <n v="0"/>
    <n v="0"/>
    <n v="26"/>
    <n v="1355"/>
    <n v="4807"/>
    <n v="3091"/>
    <n v="9279"/>
  </r>
  <r>
    <x v="0"/>
    <x v="1102"/>
    <x v="0"/>
    <n v="0"/>
    <n v="0"/>
    <n v="0"/>
    <n v="0"/>
    <n v="0"/>
    <n v="67"/>
    <n v="248"/>
    <n v="181"/>
    <n v="142"/>
    <n v="638"/>
  </r>
  <r>
    <x v="0"/>
    <x v="1103"/>
    <x v="0"/>
    <n v="0"/>
    <n v="0"/>
    <n v="0"/>
    <n v="0"/>
    <n v="0"/>
    <n v="0"/>
    <n v="0"/>
    <n v="11"/>
    <n v="22"/>
    <n v="33"/>
  </r>
  <r>
    <x v="0"/>
    <x v="1104"/>
    <x v="0"/>
    <n v="0"/>
    <n v="0"/>
    <n v="74"/>
    <n v="183"/>
    <n v="74"/>
    <n v="130"/>
    <n v="407"/>
    <n v="831"/>
    <n v="704"/>
    <n v="2403"/>
  </r>
  <r>
    <x v="2"/>
    <x v="1105"/>
    <x v="0"/>
    <n v="0"/>
    <n v="11"/>
    <n v="0"/>
    <n v="0"/>
    <n v="0"/>
    <n v="0"/>
    <n v="0"/>
    <n v="0"/>
    <n v="0"/>
    <n v="11"/>
  </r>
  <r>
    <x v="0"/>
    <x v="1106"/>
    <x v="0"/>
    <n v="0"/>
    <n v="0"/>
    <n v="0"/>
    <n v="16"/>
    <n v="34"/>
    <n v="12"/>
    <n v="9"/>
    <n v="39"/>
    <n v="37"/>
    <n v="147"/>
  </r>
  <r>
    <x v="1"/>
    <x v="1107"/>
    <x v="0"/>
    <n v="0"/>
    <n v="0"/>
    <n v="0"/>
    <n v="0"/>
    <n v="0"/>
    <n v="0"/>
    <n v="0"/>
    <n v="0"/>
    <n v="1"/>
    <n v="1"/>
  </r>
  <r>
    <x v="0"/>
    <x v="1108"/>
    <x v="0"/>
    <n v="0"/>
    <n v="0"/>
    <n v="0"/>
    <n v="0"/>
    <n v="34"/>
    <n v="100"/>
    <n v="140"/>
    <n v="36"/>
    <n v="20"/>
    <n v="330"/>
  </r>
  <r>
    <x v="0"/>
    <x v="1109"/>
    <x v="0"/>
    <n v="0"/>
    <n v="0"/>
    <n v="0"/>
    <n v="0"/>
    <n v="0"/>
    <n v="0"/>
    <n v="1"/>
    <n v="92"/>
    <n v="22"/>
    <n v="115"/>
  </r>
  <r>
    <x v="0"/>
    <x v="1110"/>
    <x v="0"/>
    <n v="0"/>
    <n v="0"/>
    <n v="35"/>
    <n v="30"/>
    <n v="19"/>
    <n v="3"/>
    <n v="6"/>
    <n v="123"/>
    <n v="162"/>
    <n v="378"/>
  </r>
  <r>
    <x v="0"/>
    <x v="1111"/>
    <x v="0"/>
    <n v="0"/>
    <n v="0"/>
    <n v="0"/>
    <n v="4"/>
    <n v="0"/>
    <n v="0"/>
    <n v="2"/>
    <n v="10"/>
    <n v="2"/>
    <n v="18"/>
  </r>
  <r>
    <x v="2"/>
    <x v="1112"/>
    <x v="0"/>
    <n v="0"/>
    <n v="1"/>
    <n v="0"/>
    <n v="0"/>
    <n v="0"/>
    <n v="0"/>
    <n v="0"/>
    <n v="0"/>
    <n v="0"/>
    <n v="1"/>
  </r>
  <r>
    <x v="0"/>
    <x v="1113"/>
    <x v="0"/>
    <n v="0"/>
    <n v="0"/>
    <n v="0"/>
    <n v="0"/>
    <n v="0"/>
    <n v="0"/>
    <n v="2"/>
    <n v="3"/>
    <n v="2"/>
    <n v="7"/>
  </r>
  <r>
    <x v="0"/>
    <x v="1114"/>
    <x v="2"/>
    <n v="1"/>
    <n v="1"/>
    <n v="0"/>
    <n v="0"/>
    <n v="0"/>
    <n v="0"/>
    <n v="0"/>
    <n v="0"/>
    <n v="0"/>
    <n v="3"/>
  </r>
  <r>
    <x v="2"/>
    <x v="1114"/>
    <x v="0"/>
    <n v="2"/>
    <n v="1"/>
    <n v="0"/>
    <n v="0"/>
    <n v="0"/>
    <n v="0"/>
    <n v="0"/>
    <n v="0"/>
    <n v="0"/>
    <n v="3"/>
  </r>
  <r>
    <x v="0"/>
    <x v="1115"/>
    <x v="0"/>
    <n v="3"/>
    <n v="26"/>
    <n v="30"/>
    <n v="16"/>
    <n v="2"/>
    <n v="0"/>
    <n v="0"/>
    <n v="0"/>
    <n v="0"/>
    <n v="77"/>
  </r>
  <r>
    <x v="0"/>
    <x v="1116"/>
    <x v="0"/>
    <n v="0"/>
    <n v="0"/>
    <n v="21"/>
    <n v="5"/>
    <n v="6"/>
    <n v="0"/>
    <n v="0"/>
    <n v="0"/>
    <n v="0"/>
    <n v="32"/>
  </r>
  <r>
    <x v="2"/>
    <x v="1117"/>
    <x v="0"/>
    <n v="2"/>
    <n v="2"/>
    <n v="0"/>
    <n v="0"/>
    <n v="1"/>
    <n v="0"/>
    <n v="0"/>
    <n v="0"/>
    <n v="0"/>
    <n v="5"/>
  </r>
  <r>
    <x v="2"/>
    <x v="1118"/>
    <x v="0"/>
    <n v="0"/>
    <n v="0"/>
    <n v="0"/>
    <n v="0"/>
    <n v="0"/>
    <n v="0"/>
    <n v="35"/>
    <n v="570"/>
    <n v="317"/>
    <n v="922"/>
  </r>
  <r>
    <x v="0"/>
    <x v="1119"/>
    <x v="0"/>
    <n v="0"/>
    <n v="0"/>
    <n v="0"/>
    <n v="0"/>
    <n v="0"/>
    <n v="0"/>
    <n v="0"/>
    <n v="0"/>
    <n v="3"/>
    <n v="3"/>
  </r>
  <r>
    <x v="0"/>
    <x v="1120"/>
    <x v="0"/>
    <n v="6"/>
    <n v="44"/>
    <n v="151"/>
    <n v="290"/>
    <n v="191"/>
    <n v="113"/>
    <n v="446"/>
    <n v="1080"/>
    <n v="847"/>
    <n v="3168"/>
  </r>
  <r>
    <x v="0"/>
    <x v="1121"/>
    <x v="0"/>
    <n v="0"/>
    <n v="0"/>
    <n v="0"/>
    <n v="0"/>
    <n v="0"/>
    <n v="44"/>
    <n v="7"/>
    <n v="0"/>
    <n v="1"/>
    <n v="52"/>
  </r>
  <r>
    <x v="0"/>
    <x v="1122"/>
    <x v="8"/>
    <n v="77"/>
    <n v="22"/>
    <n v="5"/>
    <n v="0"/>
    <n v="1"/>
    <n v="0"/>
    <n v="0"/>
    <n v="0"/>
    <n v="0"/>
    <n v="107"/>
  </r>
  <r>
    <x v="1"/>
    <x v="1123"/>
    <x v="0"/>
    <n v="0"/>
    <n v="0"/>
    <n v="0"/>
    <n v="0"/>
    <n v="0"/>
    <n v="0"/>
    <n v="314"/>
    <n v="6910"/>
    <n v="7166"/>
    <n v="14390"/>
  </r>
  <r>
    <x v="0"/>
    <x v="1123"/>
    <x v="0"/>
    <n v="0"/>
    <n v="0"/>
    <n v="0"/>
    <n v="0"/>
    <n v="0"/>
    <n v="0"/>
    <n v="0"/>
    <n v="0"/>
    <n v="18"/>
    <n v="18"/>
  </r>
  <r>
    <x v="2"/>
    <x v="1123"/>
    <x v="0"/>
    <n v="0"/>
    <n v="0"/>
    <n v="0"/>
    <n v="0"/>
    <n v="0"/>
    <n v="0"/>
    <n v="0"/>
    <n v="0"/>
    <n v="2"/>
    <n v="2"/>
  </r>
  <r>
    <x v="1"/>
    <x v="1124"/>
    <x v="0"/>
    <n v="0"/>
    <n v="0"/>
    <n v="0"/>
    <n v="0"/>
    <n v="0"/>
    <n v="0"/>
    <n v="0"/>
    <n v="1"/>
    <n v="23"/>
    <n v="24"/>
  </r>
  <r>
    <x v="0"/>
    <x v="1125"/>
    <x v="0"/>
    <n v="0"/>
    <n v="0"/>
    <n v="0"/>
    <n v="0"/>
    <n v="0"/>
    <n v="0"/>
    <n v="13"/>
    <n v="80"/>
    <n v="20"/>
    <n v="113"/>
  </r>
  <r>
    <x v="0"/>
    <x v="1126"/>
    <x v="0"/>
    <n v="1"/>
    <n v="2"/>
    <n v="1"/>
    <n v="0"/>
    <n v="0"/>
    <n v="2"/>
    <n v="0"/>
    <n v="0"/>
    <n v="0"/>
    <n v="6"/>
  </r>
  <r>
    <x v="0"/>
    <x v="1127"/>
    <x v="0"/>
    <n v="0"/>
    <n v="0"/>
    <n v="25"/>
    <n v="67"/>
    <n v="68"/>
    <n v="22"/>
    <n v="114"/>
    <n v="30"/>
    <n v="29"/>
    <n v="355"/>
  </r>
  <r>
    <x v="1"/>
    <x v="1128"/>
    <x v="0"/>
    <n v="0"/>
    <n v="0"/>
    <n v="0"/>
    <n v="0"/>
    <n v="0"/>
    <n v="21"/>
    <n v="82"/>
    <n v="42"/>
    <n v="20"/>
    <n v="165"/>
  </r>
  <r>
    <x v="3"/>
    <x v="1129"/>
    <x v="2"/>
    <n v="0"/>
    <n v="0"/>
    <n v="0"/>
    <n v="0"/>
    <n v="0"/>
    <n v="0"/>
    <n v="0"/>
    <n v="0"/>
    <n v="0"/>
    <n v="1"/>
  </r>
  <r>
    <x v="0"/>
    <x v="1130"/>
    <x v="0"/>
    <n v="0"/>
    <n v="26"/>
    <n v="61"/>
    <n v="17"/>
    <n v="0"/>
    <n v="0"/>
    <n v="1"/>
    <n v="2"/>
    <n v="2"/>
    <n v="109"/>
  </r>
  <r>
    <x v="1"/>
    <x v="1131"/>
    <x v="0"/>
    <n v="0"/>
    <n v="0"/>
    <n v="0"/>
    <n v="0"/>
    <n v="0"/>
    <n v="0"/>
    <n v="6"/>
    <n v="15"/>
    <n v="6"/>
    <n v="27"/>
  </r>
  <r>
    <x v="1"/>
    <x v="1132"/>
    <x v="0"/>
    <n v="0"/>
    <n v="0"/>
    <n v="0"/>
    <n v="0"/>
    <n v="0"/>
    <n v="0"/>
    <n v="2"/>
    <n v="275"/>
    <n v="64"/>
    <n v="341"/>
  </r>
  <r>
    <x v="1"/>
    <x v="1133"/>
    <x v="0"/>
    <n v="0"/>
    <n v="0"/>
    <n v="0"/>
    <n v="0"/>
    <n v="0"/>
    <n v="0"/>
    <n v="0"/>
    <n v="4"/>
    <n v="63"/>
    <n v="67"/>
  </r>
  <r>
    <x v="1"/>
    <x v="1134"/>
    <x v="0"/>
    <n v="0"/>
    <n v="0"/>
    <n v="0"/>
    <n v="0"/>
    <n v="0"/>
    <n v="0"/>
    <n v="0"/>
    <n v="0"/>
    <n v="1"/>
    <n v="1"/>
  </r>
  <r>
    <x v="1"/>
    <x v="1135"/>
    <x v="0"/>
    <n v="0"/>
    <n v="0"/>
    <n v="0"/>
    <n v="0"/>
    <n v="0"/>
    <n v="0"/>
    <n v="0"/>
    <n v="10"/>
    <n v="4"/>
    <n v="14"/>
  </r>
  <r>
    <x v="1"/>
    <x v="1136"/>
    <x v="0"/>
    <n v="0"/>
    <n v="0"/>
    <n v="0"/>
    <n v="0"/>
    <n v="0"/>
    <n v="0"/>
    <n v="0"/>
    <n v="68"/>
    <n v="21"/>
    <n v="89"/>
  </r>
  <r>
    <x v="0"/>
    <x v="1136"/>
    <x v="0"/>
    <n v="0"/>
    <n v="0"/>
    <n v="0"/>
    <n v="0"/>
    <n v="0"/>
    <n v="0"/>
    <n v="0"/>
    <n v="0"/>
    <n v="4"/>
    <n v="4"/>
  </r>
  <r>
    <x v="1"/>
    <x v="1137"/>
    <x v="0"/>
    <n v="0"/>
    <n v="0"/>
    <n v="0"/>
    <n v="0"/>
    <n v="0"/>
    <n v="0"/>
    <n v="0"/>
    <n v="8"/>
    <n v="9"/>
    <n v="17"/>
  </r>
  <r>
    <x v="1"/>
    <x v="1138"/>
    <x v="0"/>
    <n v="0"/>
    <n v="0"/>
    <n v="0"/>
    <n v="0"/>
    <n v="0"/>
    <n v="0"/>
    <n v="12"/>
    <n v="15"/>
    <n v="4"/>
    <n v="31"/>
  </r>
  <r>
    <x v="1"/>
    <x v="1139"/>
    <x v="0"/>
    <n v="0"/>
    <n v="0"/>
    <n v="0"/>
    <n v="0"/>
    <n v="0"/>
    <n v="0"/>
    <n v="0"/>
    <n v="2"/>
    <n v="11"/>
    <n v="13"/>
  </r>
  <r>
    <x v="1"/>
    <x v="1140"/>
    <x v="0"/>
    <n v="0"/>
    <n v="0"/>
    <n v="0"/>
    <n v="0"/>
    <n v="0"/>
    <n v="0"/>
    <n v="1"/>
    <n v="426"/>
    <n v="282"/>
    <n v="709"/>
  </r>
  <r>
    <x v="1"/>
    <x v="1141"/>
    <x v="0"/>
    <n v="0"/>
    <n v="0"/>
    <n v="0"/>
    <n v="0"/>
    <n v="0"/>
    <n v="0"/>
    <n v="0"/>
    <n v="4"/>
    <n v="22"/>
    <n v="26"/>
  </r>
  <r>
    <x v="1"/>
    <x v="1142"/>
    <x v="0"/>
    <n v="0"/>
    <n v="0"/>
    <n v="0"/>
    <n v="0"/>
    <n v="0"/>
    <n v="0"/>
    <n v="4"/>
    <n v="182"/>
    <n v="109"/>
    <n v="295"/>
  </r>
  <r>
    <x v="1"/>
    <x v="1143"/>
    <x v="0"/>
    <n v="0"/>
    <n v="0"/>
    <n v="0"/>
    <n v="0"/>
    <n v="0"/>
    <n v="0"/>
    <n v="6"/>
    <n v="54"/>
    <n v="3"/>
    <n v="63"/>
  </r>
  <r>
    <x v="1"/>
    <x v="1144"/>
    <x v="0"/>
    <n v="0"/>
    <n v="0"/>
    <n v="0"/>
    <n v="0"/>
    <n v="0"/>
    <n v="0"/>
    <n v="0"/>
    <n v="1"/>
    <n v="45"/>
    <n v="46"/>
  </r>
  <r>
    <x v="1"/>
    <x v="1145"/>
    <x v="0"/>
    <n v="0"/>
    <n v="0"/>
    <n v="0"/>
    <n v="0"/>
    <n v="0"/>
    <n v="0"/>
    <n v="0"/>
    <n v="0"/>
    <n v="48"/>
    <n v="48"/>
  </r>
  <r>
    <x v="1"/>
    <x v="1146"/>
    <x v="0"/>
    <n v="0"/>
    <n v="0"/>
    <n v="0"/>
    <n v="0"/>
    <n v="0"/>
    <n v="0"/>
    <n v="0"/>
    <n v="37"/>
    <n v="6"/>
    <n v="43"/>
  </r>
  <r>
    <x v="1"/>
    <x v="1147"/>
    <x v="0"/>
    <n v="0"/>
    <n v="0"/>
    <n v="0"/>
    <n v="0"/>
    <n v="0"/>
    <n v="0"/>
    <n v="0"/>
    <n v="35"/>
    <n v="16"/>
    <n v="51"/>
  </r>
  <r>
    <x v="1"/>
    <x v="1148"/>
    <x v="0"/>
    <n v="0"/>
    <n v="0"/>
    <n v="0"/>
    <n v="0"/>
    <n v="0"/>
    <n v="0"/>
    <n v="0"/>
    <n v="72"/>
    <n v="157"/>
    <n v="229"/>
  </r>
  <r>
    <x v="1"/>
    <x v="1149"/>
    <x v="0"/>
    <n v="0"/>
    <n v="0"/>
    <n v="0"/>
    <n v="0"/>
    <n v="0"/>
    <n v="0"/>
    <n v="0"/>
    <n v="22"/>
    <n v="10"/>
    <n v="32"/>
  </r>
  <r>
    <x v="1"/>
    <x v="1150"/>
    <x v="0"/>
    <n v="0"/>
    <n v="0"/>
    <n v="0"/>
    <n v="0"/>
    <n v="0"/>
    <n v="0"/>
    <n v="0"/>
    <n v="389"/>
    <n v="168"/>
    <n v="557"/>
  </r>
  <r>
    <x v="1"/>
    <x v="1151"/>
    <x v="0"/>
    <n v="0"/>
    <n v="0"/>
    <n v="0"/>
    <n v="0"/>
    <n v="0"/>
    <n v="0"/>
    <n v="0"/>
    <n v="8"/>
    <n v="1"/>
    <n v="9"/>
  </r>
  <r>
    <x v="1"/>
    <x v="1152"/>
    <x v="0"/>
    <n v="0"/>
    <n v="0"/>
    <n v="0"/>
    <n v="0"/>
    <n v="0"/>
    <n v="0"/>
    <n v="0"/>
    <n v="0"/>
    <n v="36"/>
    <n v="36"/>
  </r>
  <r>
    <x v="1"/>
    <x v="1153"/>
    <x v="0"/>
    <n v="0"/>
    <n v="0"/>
    <n v="0"/>
    <n v="0"/>
    <n v="0"/>
    <n v="0"/>
    <n v="0"/>
    <n v="2"/>
    <n v="7"/>
    <n v="9"/>
  </r>
  <r>
    <x v="1"/>
    <x v="1154"/>
    <x v="0"/>
    <n v="0"/>
    <n v="0"/>
    <n v="0"/>
    <n v="0"/>
    <n v="0"/>
    <n v="0"/>
    <n v="0"/>
    <n v="12"/>
    <n v="4"/>
    <n v="16"/>
  </r>
  <r>
    <x v="1"/>
    <x v="1155"/>
    <x v="0"/>
    <n v="0"/>
    <n v="0"/>
    <n v="0"/>
    <n v="0"/>
    <n v="0"/>
    <n v="0"/>
    <n v="15"/>
    <n v="278"/>
    <n v="167"/>
    <n v="460"/>
  </r>
  <r>
    <x v="1"/>
    <x v="1156"/>
    <x v="0"/>
    <n v="0"/>
    <n v="0"/>
    <n v="0"/>
    <n v="0"/>
    <n v="0"/>
    <n v="0"/>
    <n v="0"/>
    <n v="17"/>
    <n v="18"/>
    <n v="35"/>
  </r>
  <r>
    <x v="1"/>
    <x v="1157"/>
    <x v="0"/>
    <n v="0"/>
    <n v="0"/>
    <n v="0"/>
    <n v="0"/>
    <n v="0"/>
    <n v="0"/>
    <n v="0"/>
    <n v="12"/>
    <n v="12"/>
    <n v="24"/>
  </r>
  <r>
    <x v="1"/>
    <x v="1158"/>
    <x v="0"/>
    <n v="0"/>
    <n v="0"/>
    <n v="0"/>
    <n v="0"/>
    <n v="0"/>
    <n v="0"/>
    <n v="0"/>
    <n v="316"/>
    <n v="102"/>
    <n v="418"/>
  </r>
  <r>
    <x v="0"/>
    <x v="1159"/>
    <x v="0"/>
    <n v="42"/>
    <n v="62"/>
    <n v="3"/>
    <n v="0"/>
    <n v="0"/>
    <n v="0"/>
    <n v="0"/>
    <n v="0"/>
    <n v="0"/>
    <n v="107"/>
  </r>
  <r>
    <x v="0"/>
    <x v="1160"/>
    <x v="0"/>
    <n v="31"/>
    <n v="49"/>
    <n v="15"/>
    <n v="11"/>
    <n v="1"/>
    <n v="1"/>
    <n v="12"/>
    <n v="2"/>
    <n v="0"/>
    <n v="122"/>
  </r>
  <r>
    <x v="0"/>
    <x v="1161"/>
    <x v="0"/>
    <n v="22"/>
    <n v="86"/>
    <n v="87"/>
    <n v="129"/>
    <n v="43"/>
    <n v="39"/>
    <n v="15"/>
    <n v="6"/>
    <n v="0"/>
    <n v="427"/>
  </r>
  <r>
    <x v="0"/>
    <x v="1162"/>
    <x v="47"/>
    <n v="3348"/>
    <n v="43"/>
    <n v="46"/>
    <n v="1"/>
    <n v="0"/>
    <n v="0"/>
    <n v="0"/>
    <n v="0"/>
    <n v="0"/>
    <n v="4218"/>
  </r>
  <r>
    <x v="0"/>
    <x v="1163"/>
    <x v="0"/>
    <n v="0"/>
    <n v="0"/>
    <n v="0"/>
    <n v="29"/>
    <n v="88"/>
    <n v="58"/>
    <n v="1"/>
    <n v="3"/>
    <n v="79"/>
    <n v="258"/>
  </r>
  <r>
    <x v="1"/>
    <x v="1164"/>
    <x v="0"/>
    <n v="0"/>
    <n v="0"/>
    <n v="0"/>
    <n v="0"/>
    <n v="0"/>
    <n v="0"/>
    <n v="25"/>
    <n v="16"/>
    <n v="1"/>
    <n v="42"/>
  </r>
  <r>
    <x v="1"/>
    <x v="1165"/>
    <x v="0"/>
    <n v="0"/>
    <n v="0"/>
    <n v="0"/>
    <n v="0"/>
    <n v="0"/>
    <n v="0"/>
    <n v="1"/>
    <n v="9"/>
    <n v="0"/>
    <n v="10"/>
  </r>
  <r>
    <x v="1"/>
    <x v="1166"/>
    <x v="0"/>
    <n v="0"/>
    <n v="0"/>
    <n v="0"/>
    <n v="0"/>
    <n v="0"/>
    <n v="0"/>
    <n v="0"/>
    <n v="4"/>
    <n v="1"/>
    <n v="5"/>
  </r>
  <r>
    <x v="1"/>
    <x v="1167"/>
    <x v="0"/>
    <n v="0"/>
    <n v="0"/>
    <n v="0"/>
    <n v="0"/>
    <n v="0"/>
    <n v="0"/>
    <n v="0"/>
    <n v="61"/>
    <n v="96"/>
    <n v="157"/>
  </r>
  <r>
    <x v="1"/>
    <x v="1168"/>
    <x v="0"/>
    <n v="0"/>
    <n v="0"/>
    <n v="0"/>
    <n v="0"/>
    <n v="0"/>
    <n v="0"/>
    <n v="13"/>
    <n v="27"/>
    <n v="13"/>
    <n v="53"/>
  </r>
  <r>
    <x v="1"/>
    <x v="1169"/>
    <x v="0"/>
    <n v="0"/>
    <n v="0"/>
    <n v="0"/>
    <n v="0"/>
    <n v="0"/>
    <n v="0"/>
    <n v="0"/>
    <n v="11"/>
    <n v="13"/>
    <n v="24"/>
  </r>
  <r>
    <x v="0"/>
    <x v="1170"/>
    <x v="2"/>
    <n v="1665"/>
    <n v="7434"/>
    <n v="10816"/>
    <n v="13213"/>
    <n v="9543"/>
    <n v="15793"/>
    <n v="29793"/>
    <n v="40794"/>
    <n v="23892"/>
    <n v="152944"/>
  </r>
  <r>
    <x v="2"/>
    <x v="1170"/>
    <x v="0"/>
    <n v="0"/>
    <n v="0"/>
    <n v="0"/>
    <n v="2"/>
    <n v="2"/>
    <n v="0"/>
    <n v="1"/>
    <n v="2"/>
    <n v="0"/>
    <n v="7"/>
  </r>
  <r>
    <x v="0"/>
    <x v="1171"/>
    <x v="0"/>
    <n v="0"/>
    <n v="30"/>
    <n v="14"/>
    <n v="24"/>
    <n v="8"/>
    <n v="1"/>
    <n v="0"/>
    <n v="0"/>
    <n v="0"/>
    <n v="77"/>
  </r>
  <r>
    <x v="0"/>
    <x v="1172"/>
    <x v="0"/>
    <n v="0"/>
    <n v="2"/>
    <n v="0"/>
    <n v="0"/>
    <n v="0"/>
    <n v="0"/>
    <n v="0"/>
    <n v="0"/>
    <n v="0"/>
    <n v="2"/>
  </r>
  <r>
    <x v="1"/>
    <x v="1173"/>
    <x v="0"/>
    <n v="0"/>
    <n v="0"/>
    <n v="0"/>
    <n v="0"/>
    <n v="0"/>
    <n v="0"/>
    <n v="0"/>
    <n v="82"/>
    <n v="109"/>
    <n v="191"/>
  </r>
  <r>
    <x v="1"/>
    <x v="1174"/>
    <x v="0"/>
    <n v="0"/>
    <n v="0"/>
    <n v="0"/>
    <n v="0"/>
    <n v="0"/>
    <n v="0"/>
    <n v="0"/>
    <n v="80"/>
    <n v="101"/>
    <n v="181"/>
  </r>
  <r>
    <x v="1"/>
    <x v="1175"/>
    <x v="0"/>
    <n v="0"/>
    <n v="0"/>
    <n v="0"/>
    <n v="0"/>
    <n v="0"/>
    <n v="0"/>
    <n v="0"/>
    <n v="0"/>
    <n v="3"/>
    <n v="3"/>
  </r>
  <r>
    <x v="1"/>
    <x v="1176"/>
    <x v="0"/>
    <n v="0"/>
    <n v="0"/>
    <n v="0"/>
    <n v="0"/>
    <n v="0"/>
    <n v="0"/>
    <n v="0"/>
    <n v="0"/>
    <n v="36"/>
    <n v="36"/>
  </r>
  <r>
    <x v="1"/>
    <x v="1177"/>
    <x v="0"/>
    <n v="0"/>
    <n v="0"/>
    <n v="0"/>
    <n v="0"/>
    <n v="0"/>
    <n v="0"/>
    <n v="0"/>
    <n v="2"/>
    <n v="11"/>
    <n v="13"/>
  </r>
  <r>
    <x v="1"/>
    <x v="1178"/>
    <x v="0"/>
    <n v="0"/>
    <n v="0"/>
    <n v="0"/>
    <n v="0"/>
    <n v="0"/>
    <n v="0"/>
    <n v="0"/>
    <n v="218"/>
    <n v="232"/>
    <n v="450"/>
  </r>
  <r>
    <x v="1"/>
    <x v="1179"/>
    <x v="0"/>
    <n v="0"/>
    <n v="0"/>
    <n v="0"/>
    <n v="0"/>
    <n v="0"/>
    <n v="0"/>
    <n v="0"/>
    <n v="0"/>
    <n v="23"/>
    <n v="23"/>
  </r>
  <r>
    <x v="1"/>
    <x v="1180"/>
    <x v="0"/>
    <n v="0"/>
    <n v="0"/>
    <n v="0"/>
    <n v="0"/>
    <n v="0"/>
    <n v="0"/>
    <n v="0"/>
    <n v="36"/>
    <n v="67"/>
    <n v="103"/>
  </r>
  <r>
    <x v="1"/>
    <x v="1181"/>
    <x v="0"/>
    <n v="0"/>
    <n v="0"/>
    <n v="0"/>
    <n v="0"/>
    <n v="0"/>
    <n v="0"/>
    <n v="0"/>
    <n v="20"/>
    <n v="37"/>
    <n v="57"/>
  </r>
  <r>
    <x v="0"/>
    <x v="1182"/>
    <x v="0"/>
    <n v="0"/>
    <n v="0"/>
    <n v="71"/>
    <n v="31"/>
    <n v="3"/>
    <n v="4"/>
    <n v="5"/>
    <n v="0"/>
    <n v="0"/>
    <n v="114"/>
  </r>
  <r>
    <x v="2"/>
    <x v="1182"/>
    <x v="0"/>
    <n v="0"/>
    <n v="0"/>
    <n v="1"/>
    <n v="0"/>
    <n v="0"/>
    <n v="0"/>
    <n v="0"/>
    <n v="0"/>
    <n v="0"/>
    <n v="1"/>
  </r>
  <r>
    <x v="1"/>
    <x v="1183"/>
    <x v="0"/>
    <n v="0"/>
    <n v="0"/>
    <n v="0"/>
    <n v="0"/>
    <n v="0"/>
    <n v="0"/>
    <n v="35"/>
    <n v="128"/>
    <n v="48"/>
    <n v="211"/>
  </r>
  <r>
    <x v="1"/>
    <x v="1184"/>
    <x v="0"/>
    <n v="0"/>
    <n v="0"/>
    <n v="0"/>
    <n v="0"/>
    <n v="0"/>
    <n v="0"/>
    <n v="0"/>
    <n v="32"/>
    <n v="7"/>
    <n v="39"/>
  </r>
  <r>
    <x v="0"/>
    <x v="1185"/>
    <x v="0"/>
    <n v="0"/>
    <n v="0"/>
    <n v="16"/>
    <n v="2"/>
    <n v="2"/>
    <n v="1"/>
    <n v="0"/>
    <n v="0"/>
    <n v="0"/>
    <n v="21"/>
  </r>
  <r>
    <x v="0"/>
    <x v="1186"/>
    <x v="0"/>
    <n v="10"/>
    <n v="605"/>
    <n v="789"/>
    <n v="1621"/>
    <n v="1281"/>
    <n v="931"/>
    <n v="1561"/>
    <n v="2836"/>
    <n v="2626"/>
    <n v="12260"/>
  </r>
  <r>
    <x v="2"/>
    <x v="1186"/>
    <x v="0"/>
    <n v="0"/>
    <n v="0"/>
    <n v="0"/>
    <n v="0"/>
    <n v="0"/>
    <n v="0"/>
    <n v="1"/>
    <n v="0"/>
    <n v="0"/>
    <n v="1"/>
  </r>
  <r>
    <x v="0"/>
    <x v="1187"/>
    <x v="0"/>
    <n v="0"/>
    <n v="0"/>
    <n v="0"/>
    <n v="0"/>
    <n v="0"/>
    <n v="118"/>
    <n v="223"/>
    <n v="718"/>
    <n v="612"/>
    <n v="1671"/>
  </r>
  <r>
    <x v="0"/>
    <x v="1188"/>
    <x v="0"/>
    <n v="0"/>
    <n v="0"/>
    <n v="0"/>
    <n v="0"/>
    <n v="0"/>
    <n v="0"/>
    <n v="382"/>
    <n v="3563"/>
    <n v="3578"/>
    <n v="7523"/>
  </r>
  <r>
    <x v="0"/>
    <x v="1189"/>
    <x v="0"/>
    <n v="0"/>
    <n v="0"/>
    <n v="0"/>
    <n v="0"/>
    <n v="0"/>
    <n v="0"/>
    <n v="3"/>
    <n v="11"/>
    <n v="55"/>
    <n v="69"/>
  </r>
  <r>
    <x v="0"/>
    <x v="1190"/>
    <x v="0"/>
    <n v="0"/>
    <n v="4"/>
    <n v="12"/>
    <n v="12"/>
    <n v="8"/>
    <n v="15"/>
    <n v="23"/>
    <n v="37"/>
    <n v="19"/>
    <n v="130"/>
  </r>
  <r>
    <x v="1"/>
    <x v="1191"/>
    <x v="0"/>
    <n v="0"/>
    <n v="0"/>
    <n v="0"/>
    <n v="0"/>
    <n v="0"/>
    <n v="0"/>
    <n v="21"/>
    <n v="45"/>
    <n v="9"/>
    <n v="75"/>
  </r>
  <r>
    <x v="1"/>
    <x v="1192"/>
    <x v="0"/>
    <n v="0"/>
    <n v="0"/>
    <n v="0"/>
    <n v="0"/>
    <n v="0"/>
    <n v="0"/>
    <n v="0"/>
    <n v="64"/>
    <n v="6"/>
    <n v="70"/>
  </r>
  <r>
    <x v="1"/>
    <x v="1193"/>
    <x v="0"/>
    <n v="0"/>
    <n v="0"/>
    <n v="0"/>
    <n v="0"/>
    <n v="0"/>
    <n v="0"/>
    <n v="0"/>
    <n v="0"/>
    <n v="54"/>
    <n v="54"/>
  </r>
  <r>
    <x v="1"/>
    <x v="1194"/>
    <x v="0"/>
    <n v="0"/>
    <n v="0"/>
    <n v="0"/>
    <n v="0"/>
    <n v="0"/>
    <n v="0"/>
    <n v="0"/>
    <n v="0"/>
    <n v="5"/>
    <n v="5"/>
  </r>
  <r>
    <x v="0"/>
    <x v="1195"/>
    <x v="0"/>
    <n v="0"/>
    <n v="0"/>
    <n v="0"/>
    <n v="0"/>
    <n v="0"/>
    <n v="0"/>
    <n v="5"/>
    <n v="131"/>
    <n v="74"/>
    <n v="210"/>
  </r>
</pivotCacheRecords>
</file>

<file path=xl/pivotCache/pivotCacheRecords2.xml><?xml version="1.0" encoding="utf-8"?>
<pivotCacheRecords xmlns="http://schemas.openxmlformats.org/spreadsheetml/2006/main" xmlns:r="http://schemas.openxmlformats.org/officeDocument/2006/relationships" count="284">
  <r>
    <x v="0"/>
    <x v="0"/>
    <n v="0"/>
    <n v="0"/>
    <n v="0"/>
    <n v="0"/>
    <n v="0"/>
    <n v="0"/>
    <n v="0"/>
    <n v="0"/>
    <n v="0"/>
    <n v="0"/>
    <n v="0"/>
    <n v="0"/>
    <n v="0"/>
    <n v="0"/>
    <n v="0"/>
    <n v="0"/>
  </r>
  <r>
    <x v="1"/>
    <x v="0"/>
    <n v="1"/>
    <n v="0"/>
    <n v="0"/>
    <n v="9"/>
    <n v="15"/>
    <n v="1"/>
    <n v="0"/>
    <n v="0"/>
    <n v="0"/>
    <n v="2"/>
    <n v="0"/>
    <n v="0"/>
    <n v="2"/>
    <n v="62"/>
    <n v="0"/>
    <n v="92"/>
  </r>
  <r>
    <x v="2"/>
    <x v="0"/>
    <n v="2"/>
    <n v="1"/>
    <n v="0"/>
    <n v="266"/>
    <n v="11"/>
    <n v="5"/>
    <n v="0"/>
    <n v="0"/>
    <n v="0"/>
    <n v="0"/>
    <n v="0"/>
    <n v="0"/>
    <n v="2"/>
    <n v="11"/>
    <n v="0"/>
    <n v="298"/>
  </r>
  <r>
    <x v="3"/>
    <x v="0"/>
    <n v="1"/>
    <n v="2"/>
    <n v="0"/>
    <n v="35"/>
    <n v="15"/>
    <n v="1"/>
    <n v="0"/>
    <n v="0"/>
    <n v="0"/>
    <n v="1"/>
    <n v="0"/>
    <n v="0"/>
    <n v="9"/>
    <n v="18"/>
    <n v="0"/>
    <n v="82"/>
  </r>
  <r>
    <x v="4"/>
    <x v="0"/>
    <n v="2"/>
    <n v="0"/>
    <n v="1"/>
    <n v="14"/>
    <n v="17"/>
    <n v="1"/>
    <n v="0"/>
    <n v="0"/>
    <n v="1"/>
    <n v="2"/>
    <n v="0"/>
    <n v="0"/>
    <n v="1"/>
    <n v="21"/>
    <n v="0"/>
    <n v="60"/>
  </r>
  <r>
    <x v="5"/>
    <x v="0"/>
    <n v="0"/>
    <n v="0"/>
    <n v="0"/>
    <n v="10"/>
    <n v="14"/>
    <n v="1"/>
    <n v="0"/>
    <n v="0"/>
    <n v="0"/>
    <n v="0"/>
    <n v="0"/>
    <n v="0"/>
    <n v="1"/>
    <n v="38"/>
    <n v="0"/>
    <n v="64"/>
  </r>
  <r>
    <x v="6"/>
    <x v="0"/>
    <n v="1"/>
    <n v="0"/>
    <n v="0"/>
    <n v="9"/>
    <n v="15"/>
    <n v="1"/>
    <n v="0"/>
    <n v="0"/>
    <n v="0"/>
    <n v="2"/>
    <n v="0"/>
    <n v="0"/>
    <n v="2"/>
    <n v="62"/>
    <n v="0"/>
    <n v="92"/>
  </r>
  <r>
    <x v="7"/>
    <x v="0"/>
    <n v="3"/>
    <n v="3"/>
    <n v="0"/>
    <n v="7"/>
    <n v="20"/>
    <n v="0"/>
    <n v="0"/>
    <n v="0"/>
    <n v="0"/>
    <n v="0"/>
    <n v="0"/>
    <n v="0"/>
    <n v="2"/>
    <n v="119"/>
    <n v="0"/>
    <n v="154"/>
  </r>
  <r>
    <x v="8"/>
    <x v="0"/>
    <n v="0"/>
    <n v="2"/>
    <n v="0"/>
    <n v="6"/>
    <n v="40"/>
    <n v="3"/>
    <n v="0"/>
    <n v="0"/>
    <n v="0"/>
    <n v="2"/>
    <n v="0"/>
    <n v="0"/>
    <n v="2"/>
    <n v="518"/>
    <n v="0"/>
    <n v="573"/>
  </r>
  <r>
    <x v="9"/>
    <x v="0"/>
    <n v="0"/>
    <n v="0"/>
    <n v="0"/>
    <n v="2"/>
    <n v="41"/>
    <n v="0"/>
    <n v="0"/>
    <n v="0"/>
    <n v="0"/>
    <n v="1"/>
    <n v="0"/>
    <n v="0"/>
    <n v="1"/>
    <n v="965"/>
    <n v="0"/>
    <n v="1010"/>
  </r>
  <r>
    <x v="10"/>
    <x v="0"/>
    <n v="0"/>
    <n v="0"/>
    <n v="0"/>
    <n v="7"/>
    <n v="17"/>
    <n v="0"/>
    <n v="0"/>
    <n v="0"/>
    <n v="0"/>
    <n v="0"/>
    <n v="0"/>
    <n v="0"/>
    <n v="4"/>
    <n v="357"/>
    <n v="0"/>
    <n v="385"/>
  </r>
  <r>
    <x v="11"/>
    <x v="0"/>
    <n v="1"/>
    <n v="0"/>
    <n v="0"/>
    <n v="48"/>
    <n v="70"/>
    <n v="0"/>
    <n v="0"/>
    <n v="0"/>
    <n v="0"/>
    <n v="0"/>
    <n v="0"/>
    <n v="0"/>
    <n v="1"/>
    <n v="317"/>
    <n v="0"/>
    <n v="437"/>
  </r>
  <r>
    <x v="12"/>
    <x v="0"/>
    <n v="2"/>
    <n v="0"/>
    <n v="0"/>
    <n v="8"/>
    <n v="87"/>
    <n v="5"/>
    <n v="0"/>
    <n v="0"/>
    <n v="0"/>
    <n v="0"/>
    <n v="0"/>
    <n v="0"/>
    <n v="1"/>
    <n v="560"/>
    <n v="0"/>
    <n v="663"/>
  </r>
  <r>
    <x v="13"/>
    <x v="0"/>
    <n v="3"/>
    <n v="1"/>
    <n v="0"/>
    <n v="5"/>
    <n v="27"/>
    <n v="1"/>
    <n v="0"/>
    <n v="0"/>
    <n v="0"/>
    <n v="0"/>
    <n v="0"/>
    <n v="0"/>
    <n v="2"/>
    <n v="209"/>
    <n v="0"/>
    <n v="248"/>
  </r>
  <r>
    <x v="14"/>
    <x v="0"/>
    <n v="0"/>
    <n v="0"/>
    <n v="0"/>
    <n v="6"/>
    <n v="46"/>
    <n v="1"/>
    <n v="0"/>
    <n v="0"/>
    <n v="0"/>
    <n v="1"/>
    <n v="0"/>
    <n v="0"/>
    <n v="2"/>
    <n v="175"/>
    <n v="0"/>
    <n v="231"/>
  </r>
  <r>
    <x v="15"/>
    <x v="0"/>
    <n v="0"/>
    <n v="0"/>
    <n v="0"/>
    <n v="5"/>
    <n v="76"/>
    <n v="0"/>
    <n v="0"/>
    <n v="0"/>
    <n v="0"/>
    <n v="0"/>
    <n v="0"/>
    <n v="0"/>
    <n v="2"/>
    <n v="93"/>
    <n v="0"/>
    <n v="176"/>
  </r>
  <r>
    <x v="16"/>
    <x v="1"/>
    <n v="1"/>
    <n v="0"/>
    <n v="1"/>
    <n v="4"/>
    <n v="86"/>
    <n v="7"/>
    <n v="0"/>
    <n v="0"/>
    <n v="0"/>
    <n v="15"/>
    <n v="0"/>
    <n v="0"/>
    <n v="1712"/>
    <n v="117"/>
    <n v="0"/>
    <n v="1944"/>
  </r>
  <r>
    <x v="17"/>
    <x v="0"/>
    <n v="0"/>
    <n v="0"/>
    <n v="0"/>
    <n v="10"/>
    <n v="72"/>
    <n v="21"/>
    <n v="0"/>
    <n v="0"/>
    <n v="0"/>
    <n v="16"/>
    <n v="0"/>
    <n v="0"/>
    <n v="4351"/>
    <n v="108"/>
    <n v="0"/>
    <n v="4578"/>
  </r>
  <r>
    <x v="18"/>
    <x v="0"/>
    <n v="0"/>
    <n v="0"/>
    <n v="0"/>
    <n v="112"/>
    <n v="69"/>
    <n v="27"/>
    <n v="1"/>
    <n v="0"/>
    <n v="0"/>
    <n v="47"/>
    <n v="13"/>
    <n v="0"/>
    <n v="8559"/>
    <n v="176"/>
    <n v="0"/>
    <n v="9004"/>
  </r>
  <r>
    <x v="19"/>
    <x v="0"/>
    <n v="0"/>
    <n v="0"/>
    <n v="5"/>
    <n v="11"/>
    <n v="64"/>
    <n v="9"/>
    <n v="0"/>
    <n v="0"/>
    <n v="0"/>
    <n v="10"/>
    <n v="1"/>
    <n v="24"/>
    <n v="10532"/>
    <n v="2514"/>
    <n v="208"/>
    <n v="13378"/>
  </r>
  <r>
    <x v="20"/>
    <x v="0"/>
    <n v="0"/>
    <n v="0"/>
    <n v="2"/>
    <n v="1"/>
    <n v="84"/>
    <n v="204"/>
    <n v="0"/>
    <n v="7"/>
    <n v="0"/>
    <n v="58"/>
    <n v="7"/>
    <n v="1"/>
    <n v="13550"/>
    <n v="2218"/>
    <n v="723"/>
    <n v="16855"/>
  </r>
  <r>
    <x v="21"/>
    <x v="0"/>
    <n v="0"/>
    <n v="0"/>
    <n v="15"/>
    <n v="0"/>
    <n v="579"/>
    <n v="73"/>
    <n v="0"/>
    <n v="24"/>
    <n v="0"/>
    <n v="74"/>
    <n v="11"/>
    <n v="0"/>
    <n v="10927"/>
    <n v="4967"/>
    <n v="360"/>
    <n v="17030"/>
  </r>
  <r>
    <x v="22"/>
    <x v="1"/>
    <n v="0"/>
    <n v="0"/>
    <n v="126"/>
    <n v="15"/>
    <n v="1360"/>
    <n v="202"/>
    <n v="0"/>
    <n v="2"/>
    <n v="0"/>
    <n v="79"/>
    <n v="36"/>
    <n v="0"/>
    <n v="19526"/>
    <n v="29511"/>
    <n v="631"/>
    <n v="51489"/>
  </r>
  <r>
    <x v="23"/>
    <x v="1"/>
    <n v="0"/>
    <n v="0"/>
    <n v="138"/>
    <n v="33"/>
    <n v="2971"/>
    <n v="472"/>
    <n v="0"/>
    <n v="1"/>
    <n v="0"/>
    <n v="171"/>
    <n v="26"/>
    <n v="2"/>
    <n v="34368"/>
    <n v="64561"/>
    <n v="141"/>
    <n v="102885"/>
  </r>
  <r>
    <x v="24"/>
    <x v="2"/>
    <n v="21"/>
    <n v="0"/>
    <n v="543"/>
    <n v="397"/>
    <n v="7024"/>
    <n v="1453"/>
    <n v="0"/>
    <n v="6"/>
    <n v="0"/>
    <n v="0"/>
    <n v="10"/>
    <n v="1"/>
    <n v="53451"/>
    <n v="82093"/>
    <n v="41"/>
    <n v="145047"/>
  </r>
  <r>
    <x v="25"/>
    <x v="0"/>
    <n v="0"/>
    <n v="0"/>
    <n v="0"/>
    <n v="7"/>
    <n v="28"/>
    <n v="0"/>
    <n v="0"/>
    <n v="0"/>
    <n v="0"/>
    <n v="0"/>
    <n v="0"/>
    <n v="0"/>
    <n v="2"/>
    <n v="65"/>
    <n v="0"/>
    <n v="102"/>
  </r>
  <r>
    <x v="26"/>
    <x v="0"/>
    <n v="0"/>
    <n v="1"/>
    <n v="0"/>
    <n v="324"/>
    <n v="6"/>
    <n v="11"/>
    <n v="0"/>
    <n v="0"/>
    <n v="0"/>
    <n v="0"/>
    <n v="0"/>
    <n v="0"/>
    <n v="0"/>
    <n v="16"/>
    <n v="0"/>
    <n v="358"/>
  </r>
  <r>
    <x v="27"/>
    <x v="0"/>
    <n v="1"/>
    <n v="0"/>
    <n v="0"/>
    <n v="52"/>
    <n v="28"/>
    <n v="4"/>
    <n v="0"/>
    <n v="0"/>
    <n v="0"/>
    <n v="0"/>
    <n v="0"/>
    <n v="0"/>
    <n v="1"/>
    <n v="10"/>
    <n v="0"/>
    <n v="96"/>
  </r>
  <r>
    <x v="28"/>
    <x v="0"/>
    <n v="0"/>
    <n v="0"/>
    <n v="0"/>
    <n v="10"/>
    <n v="4"/>
    <n v="0"/>
    <n v="0"/>
    <n v="0"/>
    <n v="0"/>
    <n v="0"/>
    <n v="0"/>
    <n v="0"/>
    <n v="1"/>
    <n v="11"/>
    <n v="0"/>
    <n v="26"/>
  </r>
  <r>
    <x v="29"/>
    <x v="0"/>
    <n v="0"/>
    <n v="0"/>
    <n v="0"/>
    <n v="8"/>
    <n v="13"/>
    <n v="1"/>
    <n v="0"/>
    <n v="0"/>
    <n v="0"/>
    <n v="0"/>
    <n v="0"/>
    <n v="0"/>
    <n v="3"/>
    <n v="50"/>
    <n v="0"/>
    <n v="75"/>
  </r>
  <r>
    <x v="30"/>
    <x v="0"/>
    <n v="0"/>
    <n v="0"/>
    <n v="0"/>
    <n v="7"/>
    <n v="28"/>
    <n v="0"/>
    <n v="0"/>
    <n v="0"/>
    <n v="0"/>
    <n v="0"/>
    <n v="0"/>
    <n v="0"/>
    <n v="2"/>
    <n v="65"/>
    <n v="0"/>
    <n v="102"/>
  </r>
  <r>
    <x v="31"/>
    <x v="0"/>
    <n v="0"/>
    <n v="4"/>
    <n v="0"/>
    <n v="4"/>
    <n v="38"/>
    <n v="1"/>
    <n v="1"/>
    <n v="0"/>
    <n v="0"/>
    <n v="1"/>
    <n v="0"/>
    <n v="0"/>
    <n v="7"/>
    <n v="117"/>
    <n v="0"/>
    <n v="173"/>
  </r>
  <r>
    <x v="32"/>
    <x v="0"/>
    <n v="0"/>
    <n v="0"/>
    <n v="0"/>
    <n v="7"/>
    <n v="83"/>
    <n v="1"/>
    <n v="0"/>
    <n v="0"/>
    <n v="0"/>
    <n v="2"/>
    <n v="0"/>
    <n v="0"/>
    <n v="1"/>
    <n v="671"/>
    <n v="0"/>
    <n v="765"/>
  </r>
  <r>
    <x v="33"/>
    <x v="0"/>
    <n v="0"/>
    <n v="1"/>
    <n v="0"/>
    <n v="4"/>
    <n v="43"/>
    <n v="0"/>
    <n v="0"/>
    <n v="0"/>
    <n v="0"/>
    <n v="1"/>
    <n v="0"/>
    <n v="0"/>
    <n v="5"/>
    <n v="831"/>
    <n v="0"/>
    <n v="885"/>
  </r>
  <r>
    <x v="34"/>
    <x v="0"/>
    <n v="2"/>
    <n v="0"/>
    <n v="0"/>
    <n v="1"/>
    <n v="16"/>
    <n v="2"/>
    <n v="0"/>
    <n v="0"/>
    <n v="0"/>
    <n v="0"/>
    <n v="1"/>
    <n v="0"/>
    <n v="10"/>
    <n v="342"/>
    <n v="0"/>
    <n v="374"/>
  </r>
  <r>
    <x v="35"/>
    <x v="0"/>
    <n v="2"/>
    <n v="3"/>
    <n v="0"/>
    <n v="44"/>
    <n v="164"/>
    <n v="5"/>
    <n v="0"/>
    <n v="0"/>
    <n v="0"/>
    <n v="3"/>
    <n v="0"/>
    <n v="1"/>
    <n v="6"/>
    <n v="889"/>
    <n v="0"/>
    <n v="1117"/>
  </r>
  <r>
    <x v="36"/>
    <x v="0"/>
    <n v="2"/>
    <n v="1"/>
    <n v="0"/>
    <n v="8"/>
    <n v="67"/>
    <n v="1"/>
    <n v="0"/>
    <n v="0"/>
    <n v="0"/>
    <n v="2"/>
    <n v="0"/>
    <n v="0"/>
    <n v="5"/>
    <n v="635"/>
    <n v="0"/>
    <n v="721"/>
  </r>
  <r>
    <x v="37"/>
    <x v="0"/>
    <n v="0"/>
    <n v="0"/>
    <n v="0"/>
    <n v="9"/>
    <n v="21"/>
    <n v="1"/>
    <n v="0"/>
    <n v="0"/>
    <n v="0"/>
    <n v="0"/>
    <n v="0"/>
    <n v="0"/>
    <n v="4"/>
    <n v="201"/>
    <n v="0"/>
    <n v="236"/>
  </r>
  <r>
    <x v="38"/>
    <x v="0"/>
    <n v="3"/>
    <n v="0"/>
    <n v="1"/>
    <n v="11"/>
    <n v="28"/>
    <n v="0"/>
    <n v="0"/>
    <n v="0"/>
    <n v="0"/>
    <n v="0"/>
    <n v="0"/>
    <n v="0"/>
    <n v="0"/>
    <n v="130"/>
    <n v="0"/>
    <n v="173"/>
  </r>
  <r>
    <x v="39"/>
    <x v="0"/>
    <n v="2"/>
    <n v="0"/>
    <n v="0"/>
    <n v="5"/>
    <n v="62"/>
    <n v="1"/>
    <n v="0"/>
    <n v="0"/>
    <n v="0"/>
    <n v="1"/>
    <n v="0"/>
    <n v="0"/>
    <n v="3"/>
    <n v="109"/>
    <n v="0"/>
    <n v="183"/>
  </r>
  <r>
    <x v="40"/>
    <x v="1"/>
    <n v="1"/>
    <n v="0"/>
    <n v="0"/>
    <n v="14"/>
    <n v="61"/>
    <n v="1"/>
    <n v="0"/>
    <n v="0"/>
    <n v="0"/>
    <n v="15"/>
    <n v="0"/>
    <n v="0"/>
    <n v="2287"/>
    <n v="119"/>
    <n v="0"/>
    <n v="2499"/>
  </r>
  <r>
    <x v="41"/>
    <x v="0"/>
    <n v="0"/>
    <n v="0"/>
    <n v="0"/>
    <n v="37"/>
    <n v="54"/>
    <n v="21"/>
    <n v="0"/>
    <n v="0"/>
    <n v="0"/>
    <n v="18"/>
    <n v="0"/>
    <n v="0"/>
    <n v="4203"/>
    <n v="75"/>
    <n v="0"/>
    <n v="4408"/>
  </r>
  <r>
    <x v="42"/>
    <x v="0"/>
    <n v="0"/>
    <n v="0"/>
    <n v="11"/>
    <n v="69"/>
    <n v="117"/>
    <n v="73"/>
    <n v="0"/>
    <n v="0"/>
    <n v="0"/>
    <n v="42"/>
    <n v="2"/>
    <n v="0"/>
    <n v="6902"/>
    <n v="156"/>
    <n v="0"/>
    <n v="7372"/>
  </r>
  <r>
    <x v="43"/>
    <x v="0"/>
    <n v="0"/>
    <n v="0"/>
    <n v="25"/>
    <n v="2"/>
    <n v="157"/>
    <n v="71"/>
    <n v="0"/>
    <n v="18"/>
    <n v="0"/>
    <n v="47"/>
    <n v="2"/>
    <n v="1"/>
    <n v="8784"/>
    <n v="3029"/>
    <n v="95"/>
    <n v="12231"/>
  </r>
  <r>
    <x v="44"/>
    <x v="0"/>
    <n v="0"/>
    <n v="0"/>
    <n v="19"/>
    <n v="2"/>
    <n v="105"/>
    <n v="387"/>
    <n v="0"/>
    <n v="0"/>
    <n v="0"/>
    <n v="79"/>
    <n v="16"/>
    <n v="0"/>
    <n v="13610"/>
    <n v="2164"/>
    <n v="190"/>
    <n v="16572"/>
  </r>
  <r>
    <x v="45"/>
    <x v="0"/>
    <n v="0"/>
    <n v="0"/>
    <n v="133"/>
    <n v="8"/>
    <n v="586"/>
    <n v="31"/>
    <n v="0"/>
    <n v="53"/>
    <n v="0"/>
    <n v="113"/>
    <n v="24"/>
    <n v="0"/>
    <n v="12535"/>
    <n v="6449"/>
    <n v="135"/>
    <n v="20067"/>
  </r>
  <r>
    <x v="46"/>
    <x v="1"/>
    <n v="0"/>
    <n v="0"/>
    <n v="133"/>
    <n v="15"/>
    <n v="2308"/>
    <n v="144"/>
    <n v="0"/>
    <n v="0"/>
    <n v="0"/>
    <n v="95"/>
    <n v="26"/>
    <n v="0"/>
    <n v="19608"/>
    <n v="35132"/>
    <n v="635"/>
    <n v="58097"/>
  </r>
  <r>
    <x v="47"/>
    <x v="1"/>
    <n v="0"/>
    <n v="0"/>
    <n v="111"/>
    <n v="81"/>
    <n v="4366"/>
    <n v="395"/>
    <n v="0"/>
    <n v="11"/>
    <n v="0"/>
    <n v="76"/>
    <n v="32"/>
    <n v="4"/>
    <n v="36053"/>
    <n v="65950"/>
    <n v="142"/>
    <n v="107222"/>
  </r>
  <r>
    <x v="48"/>
    <x v="3"/>
    <n v="28"/>
    <n v="0"/>
    <n v="341"/>
    <n v="489"/>
    <n v="6845"/>
    <n v="668"/>
    <n v="0"/>
    <n v="4"/>
    <n v="0"/>
    <n v="0"/>
    <n v="13"/>
    <n v="0"/>
    <n v="50622"/>
    <n v="82576"/>
    <n v="151"/>
    <n v="141740"/>
  </r>
  <r>
    <x v="49"/>
    <x v="0"/>
    <n v="0"/>
    <n v="2"/>
    <n v="0"/>
    <n v="6"/>
    <n v="26"/>
    <n v="0"/>
    <n v="1"/>
    <n v="0"/>
    <n v="0"/>
    <n v="2"/>
    <n v="1"/>
    <n v="0"/>
    <n v="1"/>
    <n v="75"/>
    <n v="0"/>
    <n v="114"/>
  </r>
  <r>
    <x v="50"/>
    <x v="0"/>
    <n v="1"/>
    <n v="0"/>
    <n v="0"/>
    <n v="881"/>
    <n v="23"/>
    <n v="8"/>
    <n v="1"/>
    <n v="0"/>
    <n v="0"/>
    <n v="0"/>
    <n v="0"/>
    <n v="0"/>
    <n v="1"/>
    <n v="6"/>
    <n v="0"/>
    <n v="921"/>
  </r>
  <r>
    <x v="51"/>
    <x v="0"/>
    <n v="0"/>
    <n v="2"/>
    <n v="0"/>
    <n v="85"/>
    <n v="42"/>
    <n v="0"/>
    <n v="0"/>
    <n v="0"/>
    <n v="0"/>
    <n v="1"/>
    <n v="0"/>
    <n v="0"/>
    <n v="1"/>
    <n v="17"/>
    <n v="0"/>
    <n v="148"/>
  </r>
  <r>
    <x v="52"/>
    <x v="0"/>
    <n v="0"/>
    <n v="0"/>
    <n v="0"/>
    <n v="11"/>
    <n v="20"/>
    <n v="1"/>
    <n v="0"/>
    <n v="0"/>
    <n v="0"/>
    <n v="0"/>
    <n v="0"/>
    <n v="0"/>
    <n v="6"/>
    <n v="21"/>
    <n v="0"/>
    <n v="59"/>
  </r>
  <r>
    <x v="53"/>
    <x v="0"/>
    <n v="1"/>
    <n v="0"/>
    <n v="0"/>
    <n v="13"/>
    <n v="16"/>
    <n v="2"/>
    <n v="0"/>
    <n v="0"/>
    <n v="0"/>
    <n v="1"/>
    <n v="0"/>
    <n v="0"/>
    <n v="2"/>
    <n v="54"/>
    <n v="0"/>
    <n v="89"/>
  </r>
  <r>
    <x v="54"/>
    <x v="0"/>
    <n v="0"/>
    <n v="2"/>
    <n v="0"/>
    <n v="6"/>
    <n v="26"/>
    <n v="0"/>
    <n v="1"/>
    <n v="0"/>
    <n v="0"/>
    <n v="2"/>
    <n v="1"/>
    <n v="0"/>
    <n v="1"/>
    <n v="75"/>
    <n v="0"/>
    <n v="114"/>
  </r>
  <r>
    <x v="55"/>
    <x v="0"/>
    <n v="0"/>
    <n v="3"/>
    <n v="1"/>
    <n v="6"/>
    <n v="46"/>
    <n v="6"/>
    <n v="0"/>
    <n v="0"/>
    <n v="0"/>
    <n v="0"/>
    <n v="0"/>
    <n v="0"/>
    <n v="3"/>
    <n v="166"/>
    <n v="0"/>
    <n v="231"/>
  </r>
  <r>
    <x v="56"/>
    <x v="0"/>
    <n v="4"/>
    <n v="1"/>
    <n v="2"/>
    <n v="3"/>
    <n v="33"/>
    <n v="2"/>
    <n v="2"/>
    <n v="0"/>
    <n v="0"/>
    <n v="1"/>
    <n v="0"/>
    <n v="0"/>
    <n v="3"/>
    <n v="605"/>
    <n v="0"/>
    <n v="656"/>
  </r>
  <r>
    <x v="57"/>
    <x v="0"/>
    <n v="0"/>
    <n v="1"/>
    <n v="0"/>
    <n v="5"/>
    <n v="48"/>
    <n v="0"/>
    <n v="1"/>
    <n v="0"/>
    <n v="1"/>
    <n v="0"/>
    <n v="1"/>
    <n v="0"/>
    <n v="3"/>
    <n v="660"/>
    <n v="0"/>
    <n v="720"/>
  </r>
  <r>
    <x v="58"/>
    <x v="0"/>
    <n v="3"/>
    <n v="0"/>
    <n v="0"/>
    <n v="7"/>
    <n v="32"/>
    <n v="1"/>
    <n v="0"/>
    <n v="0"/>
    <n v="0"/>
    <n v="0"/>
    <n v="0"/>
    <n v="0"/>
    <n v="1"/>
    <n v="398"/>
    <n v="0"/>
    <n v="442"/>
  </r>
  <r>
    <x v="59"/>
    <x v="0"/>
    <n v="1"/>
    <n v="0"/>
    <n v="0"/>
    <n v="44"/>
    <n v="76"/>
    <n v="5"/>
    <n v="0"/>
    <n v="0"/>
    <n v="0"/>
    <n v="2"/>
    <n v="0"/>
    <n v="0"/>
    <n v="4"/>
    <n v="373"/>
    <n v="0"/>
    <n v="505"/>
  </r>
  <r>
    <x v="60"/>
    <x v="0"/>
    <n v="7"/>
    <n v="0"/>
    <n v="0"/>
    <n v="7"/>
    <n v="111"/>
    <n v="7"/>
    <n v="0"/>
    <n v="0"/>
    <n v="0"/>
    <n v="1"/>
    <n v="1"/>
    <n v="0"/>
    <n v="1"/>
    <n v="627"/>
    <n v="0"/>
    <n v="762"/>
  </r>
  <r>
    <x v="61"/>
    <x v="0"/>
    <n v="0"/>
    <n v="1"/>
    <n v="0"/>
    <n v="12"/>
    <n v="30"/>
    <n v="4"/>
    <n v="0"/>
    <n v="0"/>
    <n v="0"/>
    <n v="0"/>
    <n v="0"/>
    <n v="0"/>
    <n v="3"/>
    <n v="168"/>
    <n v="0"/>
    <n v="218"/>
  </r>
  <r>
    <x v="62"/>
    <x v="0"/>
    <n v="0"/>
    <n v="0"/>
    <n v="0"/>
    <n v="17"/>
    <n v="40"/>
    <n v="9"/>
    <n v="0"/>
    <n v="0"/>
    <n v="0"/>
    <n v="0"/>
    <n v="0"/>
    <n v="0"/>
    <n v="2"/>
    <n v="151"/>
    <n v="0"/>
    <n v="219"/>
  </r>
  <r>
    <x v="63"/>
    <x v="0"/>
    <n v="0"/>
    <n v="0"/>
    <n v="0"/>
    <n v="5"/>
    <n v="72"/>
    <n v="0"/>
    <n v="0"/>
    <n v="0"/>
    <n v="0"/>
    <n v="0"/>
    <n v="0"/>
    <n v="0"/>
    <n v="1"/>
    <n v="144"/>
    <n v="0"/>
    <n v="222"/>
  </r>
  <r>
    <x v="64"/>
    <x v="0"/>
    <n v="0"/>
    <n v="0"/>
    <n v="0"/>
    <n v="0"/>
    <n v="56"/>
    <n v="26"/>
    <n v="0"/>
    <n v="0"/>
    <n v="1"/>
    <n v="28"/>
    <n v="1"/>
    <n v="0"/>
    <n v="4273"/>
    <n v="134"/>
    <n v="0"/>
    <n v="4519"/>
  </r>
  <r>
    <x v="65"/>
    <x v="0"/>
    <n v="1"/>
    <n v="0"/>
    <n v="0"/>
    <n v="203"/>
    <n v="80"/>
    <n v="57"/>
    <n v="0"/>
    <n v="0"/>
    <n v="0"/>
    <n v="19"/>
    <n v="0"/>
    <n v="0"/>
    <n v="5498"/>
    <n v="132"/>
    <n v="0"/>
    <n v="5990"/>
  </r>
  <r>
    <x v="66"/>
    <x v="0"/>
    <n v="0"/>
    <n v="0"/>
    <n v="6"/>
    <n v="80"/>
    <n v="93"/>
    <n v="10"/>
    <n v="0"/>
    <n v="4"/>
    <n v="0"/>
    <n v="35"/>
    <n v="9"/>
    <n v="0"/>
    <n v="6997"/>
    <n v="461"/>
    <n v="0"/>
    <n v="7695"/>
  </r>
  <r>
    <x v="67"/>
    <x v="0"/>
    <n v="0"/>
    <n v="0"/>
    <n v="4"/>
    <n v="1"/>
    <n v="162"/>
    <n v="79"/>
    <n v="0"/>
    <n v="1"/>
    <n v="0"/>
    <n v="40"/>
    <n v="5"/>
    <n v="2"/>
    <n v="8993"/>
    <n v="5361"/>
    <n v="510"/>
    <n v="15158"/>
  </r>
  <r>
    <x v="68"/>
    <x v="0"/>
    <n v="0"/>
    <n v="0"/>
    <n v="5"/>
    <n v="3"/>
    <n v="238"/>
    <n v="187"/>
    <n v="0"/>
    <n v="2"/>
    <n v="0"/>
    <n v="40"/>
    <n v="13"/>
    <n v="0"/>
    <n v="10695"/>
    <n v="2846"/>
    <n v="37"/>
    <n v="14066"/>
  </r>
  <r>
    <x v="69"/>
    <x v="0"/>
    <n v="0"/>
    <n v="0"/>
    <n v="42"/>
    <n v="17"/>
    <n v="799"/>
    <n v="87"/>
    <n v="0"/>
    <n v="53"/>
    <n v="0"/>
    <n v="190"/>
    <n v="12"/>
    <n v="2"/>
    <n v="14936"/>
    <n v="11434"/>
    <n v="536"/>
    <n v="28108"/>
  </r>
  <r>
    <x v="70"/>
    <x v="0"/>
    <n v="0"/>
    <n v="2"/>
    <n v="77"/>
    <n v="30"/>
    <n v="3656"/>
    <n v="67"/>
    <n v="0"/>
    <n v="1"/>
    <n v="0"/>
    <n v="213"/>
    <n v="52"/>
    <n v="0"/>
    <n v="24579"/>
    <n v="54269"/>
    <n v="155"/>
    <n v="83101"/>
  </r>
  <r>
    <x v="71"/>
    <x v="3"/>
    <n v="183"/>
    <n v="1"/>
    <n v="85"/>
    <n v="72"/>
    <n v="7157"/>
    <n v="1676"/>
    <n v="0"/>
    <n v="13"/>
    <n v="1"/>
    <n v="11"/>
    <n v="45"/>
    <n v="9"/>
    <n v="45305"/>
    <n v="86325"/>
    <n v="34"/>
    <n v="140920"/>
  </r>
  <r>
    <x v="72"/>
    <x v="4"/>
    <n v="44"/>
    <n v="0"/>
    <n v="468"/>
    <n v="1645"/>
    <n v="7609"/>
    <n v="1787"/>
    <n v="0"/>
    <n v="4"/>
    <n v="0"/>
    <n v="0"/>
    <n v="44"/>
    <n v="1"/>
    <n v="60618"/>
    <n v="137113"/>
    <n v="470"/>
    <n v="209813"/>
  </r>
  <r>
    <x v="73"/>
    <x v="0"/>
    <n v="0"/>
    <n v="0"/>
    <n v="0"/>
    <n v="12"/>
    <n v="20"/>
    <n v="2"/>
    <n v="0"/>
    <n v="0"/>
    <n v="0"/>
    <n v="0"/>
    <n v="0"/>
    <n v="0"/>
    <n v="1"/>
    <n v="59"/>
    <n v="0"/>
    <n v="94"/>
  </r>
  <r>
    <x v="74"/>
    <x v="0"/>
    <n v="3"/>
    <n v="0"/>
    <n v="0"/>
    <n v="110"/>
    <n v="9"/>
    <n v="8"/>
    <n v="1"/>
    <n v="0"/>
    <n v="0"/>
    <n v="0"/>
    <n v="0"/>
    <n v="0"/>
    <n v="1"/>
    <n v="16"/>
    <n v="0"/>
    <n v="148"/>
  </r>
  <r>
    <x v="75"/>
    <x v="0"/>
    <n v="0"/>
    <n v="0"/>
    <n v="0"/>
    <n v="43"/>
    <n v="22"/>
    <n v="2"/>
    <n v="0"/>
    <n v="2"/>
    <n v="0"/>
    <n v="0"/>
    <n v="0"/>
    <n v="0"/>
    <n v="0"/>
    <n v="14"/>
    <n v="0"/>
    <n v="83"/>
  </r>
  <r>
    <x v="76"/>
    <x v="0"/>
    <n v="1"/>
    <n v="0"/>
    <n v="0"/>
    <n v="10"/>
    <n v="30"/>
    <n v="0"/>
    <n v="0"/>
    <n v="0"/>
    <n v="0"/>
    <n v="0"/>
    <n v="1"/>
    <n v="0"/>
    <n v="2"/>
    <n v="18"/>
    <n v="0"/>
    <n v="62"/>
  </r>
  <r>
    <x v="77"/>
    <x v="0"/>
    <n v="1"/>
    <n v="1"/>
    <n v="2"/>
    <n v="5"/>
    <n v="9"/>
    <n v="1"/>
    <n v="0"/>
    <n v="0"/>
    <n v="0"/>
    <n v="5"/>
    <n v="0"/>
    <n v="0"/>
    <n v="4"/>
    <n v="60"/>
    <n v="0"/>
    <n v="88"/>
  </r>
  <r>
    <x v="78"/>
    <x v="0"/>
    <n v="0"/>
    <n v="0"/>
    <n v="0"/>
    <n v="12"/>
    <n v="20"/>
    <n v="2"/>
    <n v="0"/>
    <n v="0"/>
    <n v="0"/>
    <n v="0"/>
    <n v="0"/>
    <n v="0"/>
    <n v="1"/>
    <n v="59"/>
    <n v="0"/>
    <n v="94"/>
  </r>
  <r>
    <x v="79"/>
    <x v="0"/>
    <n v="0"/>
    <n v="3"/>
    <n v="0"/>
    <n v="7"/>
    <n v="26"/>
    <n v="1"/>
    <n v="0"/>
    <n v="0"/>
    <n v="0"/>
    <n v="2"/>
    <n v="0"/>
    <n v="0"/>
    <n v="11"/>
    <n v="126"/>
    <n v="0"/>
    <n v="176"/>
  </r>
  <r>
    <x v="80"/>
    <x v="0"/>
    <n v="1"/>
    <n v="0"/>
    <n v="0"/>
    <n v="4"/>
    <n v="28"/>
    <n v="1"/>
    <n v="0"/>
    <n v="0"/>
    <n v="0"/>
    <n v="0"/>
    <n v="0"/>
    <n v="0"/>
    <n v="2"/>
    <n v="723"/>
    <n v="0"/>
    <n v="759"/>
  </r>
  <r>
    <x v="81"/>
    <x v="0"/>
    <n v="0"/>
    <n v="0"/>
    <n v="0"/>
    <n v="2"/>
    <n v="44"/>
    <n v="1"/>
    <n v="0"/>
    <n v="0"/>
    <n v="0"/>
    <n v="1"/>
    <n v="0"/>
    <n v="0"/>
    <n v="1"/>
    <n v="616"/>
    <n v="0"/>
    <n v="665"/>
  </r>
  <r>
    <x v="82"/>
    <x v="0"/>
    <n v="3"/>
    <n v="1"/>
    <n v="0"/>
    <n v="5"/>
    <n v="20"/>
    <n v="2"/>
    <n v="0"/>
    <n v="0"/>
    <n v="0"/>
    <n v="0"/>
    <n v="0"/>
    <n v="0"/>
    <n v="0"/>
    <n v="344"/>
    <n v="0"/>
    <n v="375"/>
  </r>
  <r>
    <x v="83"/>
    <x v="0"/>
    <n v="3"/>
    <n v="1"/>
    <n v="0"/>
    <n v="2"/>
    <n v="62"/>
    <n v="0"/>
    <n v="0"/>
    <n v="0"/>
    <n v="0"/>
    <n v="1"/>
    <n v="0"/>
    <n v="0"/>
    <n v="4"/>
    <n v="430"/>
    <n v="0"/>
    <n v="503"/>
  </r>
  <r>
    <x v="84"/>
    <x v="0"/>
    <n v="1"/>
    <n v="1"/>
    <n v="0"/>
    <n v="5"/>
    <n v="16"/>
    <n v="1"/>
    <n v="0"/>
    <n v="0"/>
    <n v="0"/>
    <n v="0"/>
    <n v="0"/>
    <n v="0"/>
    <n v="1"/>
    <n v="417"/>
    <n v="0"/>
    <n v="442"/>
  </r>
  <r>
    <x v="85"/>
    <x v="0"/>
    <n v="2"/>
    <n v="0"/>
    <n v="0"/>
    <n v="9"/>
    <n v="72"/>
    <n v="1"/>
    <n v="0"/>
    <n v="0"/>
    <n v="0"/>
    <n v="1"/>
    <n v="0"/>
    <n v="0"/>
    <n v="1"/>
    <n v="125"/>
    <n v="0"/>
    <n v="211"/>
  </r>
  <r>
    <x v="86"/>
    <x v="0"/>
    <n v="1"/>
    <n v="1"/>
    <n v="0"/>
    <n v="10"/>
    <n v="44"/>
    <n v="2"/>
    <n v="0"/>
    <n v="0"/>
    <n v="0"/>
    <n v="0"/>
    <n v="0"/>
    <n v="0"/>
    <n v="2"/>
    <n v="192"/>
    <n v="0"/>
    <n v="252"/>
  </r>
  <r>
    <x v="87"/>
    <x v="0"/>
    <n v="0"/>
    <n v="0"/>
    <n v="0"/>
    <n v="1"/>
    <n v="42"/>
    <n v="4"/>
    <n v="1"/>
    <n v="1"/>
    <n v="0"/>
    <n v="0"/>
    <n v="0"/>
    <n v="0"/>
    <n v="11"/>
    <n v="111"/>
    <n v="0"/>
    <n v="171"/>
  </r>
  <r>
    <x v="88"/>
    <x v="0"/>
    <n v="1"/>
    <n v="0"/>
    <n v="1"/>
    <n v="8"/>
    <n v="66"/>
    <n v="3"/>
    <n v="0"/>
    <n v="0"/>
    <n v="0"/>
    <n v="340"/>
    <n v="9"/>
    <n v="0"/>
    <n v="2903"/>
    <n v="120"/>
    <n v="0"/>
    <n v="3451"/>
  </r>
  <r>
    <x v="89"/>
    <x v="0"/>
    <n v="0"/>
    <n v="0"/>
    <n v="0"/>
    <n v="109"/>
    <n v="82"/>
    <n v="7"/>
    <n v="0"/>
    <n v="0"/>
    <n v="0"/>
    <n v="12"/>
    <n v="1"/>
    <n v="1"/>
    <n v="4747"/>
    <n v="95"/>
    <n v="0"/>
    <n v="5054"/>
  </r>
  <r>
    <x v="90"/>
    <x v="0"/>
    <n v="0"/>
    <n v="0"/>
    <n v="9"/>
    <n v="65"/>
    <n v="94"/>
    <n v="54"/>
    <n v="0"/>
    <n v="0"/>
    <n v="0"/>
    <n v="33"/>
    <n v="10"/>
    <n v="0"/>
    <n v="6581"/>
    <n v="486"/>
    <n v="2"/>
    <n v="7334"/>
  </r>
  <r>
    <x v="91"/>
    <x v="0"/>
    <n v="0"/>
    <n v="0"/>
    <n v="15"/>
    <n v="3"/>
    <n v="111"/>
    <n v="29"/>
    <n v="0"/>
    <n v="18"/>
    <n v="0"/>
    <n v="64"/>
    <n v="2"/>
    <n v="1"/>
    <n v="7888"/>
    <n v="3081"/>
    <n v="0"/>
    <n v="11212"/>
  </r>
  <r>
    <x v="92"/>
    <x v="0"/>
    <n v="0"/>
    <n v="0"/>
    <n v="0"/>
    <n v="0"/>
    <n v="2"/>
    <n v="1"/>
    <n v="0"/>
    <n v="0"/>
    <n v="0"/>
    <n v="17"/>
    <n v="0"/>
    <n v="0"/>
    <n v="870"/>
    <n v="85"/>
    <n v="0"/>
    <n v="975"/>
  </r>
  <r>
    <x v="93"/>
    <x v="0"/>
    <n v="0"/>
    <n v="0"/>
    <n v="149"/>
    <n v="440"/>
    <n v="610"/>
    <n v="24"/>
    <n v="0"/>
    <n v="6"/>
    <n v="0"/>
    <n v="132"/>
    <n v="15"/>
    <n v="0"/>
    <n v="7945"/>
    <n v="5574"/>
    <n v="128"/>
    <n v="15023"/>
  </r>
  <r>
    <x v="94"/>
    <x v="1"/>
    <n v="0"/>
    <n v="0"/>
    <n v="165"/>
    <n v="20"/>
    <n v="1805"/>
    <n v="450"/>
    <n v="0"/>
    <n v="0"/>
    <n v="0"/>
    <n v="133"/>
    <n v="37"/>
    <n v="2"/>
    <n v="21629"/>
    <n v="52833"/>
    <n v="538"/>
    <n v="77613"/>
  </r>
  <r>
    <x v="95"/>
    <x v="5"/>
    <n v="46"/>
    <n v="1"/>
    <n v="87"/>
    <n v="135"/>
    <n v="5412"/>
    <n v="624"/>
    <n v="0"/>
    <n v="1"/>
    <n v="0"/>
    <n v="1"/>
    <n v="38"/>
    <n v="2"/>
    <n v="38131"/>
    <n v="66866"/>
    <n v="9"/>
    <n v="111358"/>
  </r>
  <r>
    <x v="96"/>
    <x v="3"/>
    <n v="0"/>
    <n v="0"/>
    <n v="219"/>
    <n v="279"/>
    <n v="7023"/>
    <n v="182"/>
    <n v="0"/>
    <n v="2"/>
    <n v="0"/>
    <n v="0"/>
    <n v="17"/>
    <n v="0"/>
    <n v="41106"/>
    <n v="64503"/>
    <n v="11"/>
    <n v="113345"/>
  </r>
  <r>
    <x v="97"/>
    <x v="0"/>
    <n v="0"/>
    <n v="0"/>
    <n v="0"/>
    <n v="14"/>
    <n v="17"/>
    <n v="0"/>
    <n v="0"/>
    <n v="0"/>
    <n v="0"/>
    <n v="0"/>
    <n v="0"/>
    <n v="0"/>
    <n v="2"/>
    <n v="69"/>
    <n v="0"/>
    <n v="102"/>
  </r>
  <r>
    <x v="98"/>
    <x v="0"/>
    <n v="1"/>
    <n v="0"/>
    <n v="0"/>
    <n v="120"/>
    <n v="19"/>
    <n v="4"/>
    <n v="0"/>
    <n v="0"/>
    <n v="0"/>
    <n v="0"/>
    <n v="0"/>
    <n v="0"/>
    <n v="4"/>
    <n v="20"/>
    <n v="0"/>
    <n v="168"/>
  </r>
  <r>
    <x v="99"/>
    <x v="0"/>
    <n v="0"/>
    <n v="1"/>
    <n v="0"/>
    <n v="34"/>
    <n v="33"/>
    <n v="4"/>
    <n v="0"/>
    <n v="0"/>
    <n v="1"/>
    <n v="1"/>
    <n v="0"/>
    <n v="0"/>
    <n v="1"/>
    <n v="12"/>
    <n v="0"/>
    <n v="87"/>
  </r>
  <r>
    <x v="100"/>
    <x v="0"/>
    <n v="2"/>
    <n v="0"/>
    <n v="0"/>
    <n v="4"/>
    <n v="18"/>
    <n v="2"/>
    <n v="0"/>
    <n v="0"/>
    <n v="0"/>
    <n v="0"/>
    <n v="1"/>
    <n v="0"/>
    <n v="5"/>
    <n v="13"/>
    <n v="0"/>
    <n v="45"/>
  </r>
  <r>
    <x v="101"/>
    <x v="0"/>
    <n v="0"/>
    <n v="0"/>
    <n v="0"/>
    <n v="5"/>
    <n v="25"/>
    <n v="0"/>
    <n v="0"/>
    <n v="0"/>
    <n v="0"/>
    <n v="0"/>
    <n v="0"/>
    <n v="0"/>
    <n v="1"/>
    <n v="62"/>
    <n v="0"/>
    <n v="93"/>
  </r>
  <r>
    <x v="102"/>
    <x v="0"/>
    <n v="0"/>
    <n v="0"/>
    <n v="0"/>
    <n v="14"/>
    <n v="17"/>
    <n v="0"/>
    <n v="0"/>
    <n v="0"/>
    <n v="0"/>
    <n v="0"/>
    <n v="0"/>
    <n v="0"/>
    <n v="2"/>
    <n v="69"/>
    <n v="0"/>
    <n v="102"/>
  </r>
  <r>
    <x v="103"/>
    <x v="0"/>
    <n v="0"/>
    <n v="6"/>
    <n v="2"/>
    <n v="6"/>
    <n v="20"/>
    <n v="0"/>
    <n v="0"/>
    <n v="0"/>
    <n v="0"/>
    <n v="2"/>
    <n v="0"/>
    <n v="0"/>
    <n v="3"/>
    <n v="201"/>
    <n v="0"/>
    <n v="240"/>
  </r>
  <r>
    <x v="104"/>
    <x v="0"/>
    <n v="0"/>
    <n v="2"/>
    <n v="0"/>
    <n v="0"/>
    <n v="29"/>
    <n v="0"/>
    <n v="1"/>
    <n v="0"/>
    <n v="1"/>
    <n v="0"/>
    <n v="0"/>
    <n v="0"/>
    <n v="0"/>
    <n v="879"/>
    <n v="0"/>
    <n v="912"/>
  </r>
  <r>
    <x v="105"/>
    <x v="0"/>
    <n v="0"/>
    <n v="0"/>
    <n v="0"/>
    <n v="2"/>
    <n v="23"/>
    <n v="0"/>
    <n v="0"/>
    <n v="0"/>
    <n v="0"/>
    <n v="0"/>
    <n v="0"/>
    <n v="0"/>
    <n v="2"/>
    <n v="514"/>
    <n v="0"/>
    <n v="541"/>
  </r>
  <r>
    <x v="106"/>
    <x v="0"/>
    <n v="3"/>
    <n v="0"/>
    <n v="0"/>
    <n v="10"/>
    <n v="19"/>
    <n v="1"/>
    <n v="0"/>
    <n v="0"/>
    <n v="0"/>
    <n v="1"/>
    <n v="0"/>
    <n v="0"/>
    <n v="2"/>
    <n v="302"/>
    <n v="0"/>
    <n v="338"/>
  </r>
  <r>
    <x v="107"/>
    <x v="0"/>
    <n v="2"/>
    <n v="0"/>
    <n v="0"/>
    <n v="8"/>
    <n v="28"/>
    <n v="2"/>
    <n v="0"/>
    <n v="0"/>
    <n v="0"/>
    <n v="0"/>
    <n v="0"/>
    <n v="0"/>
    <n v="1"/>
    <n v="380"/>
    <n v="0"/>
    <n v="421"/>
  </r>
  <r>
    <x v="108"/>
    <x v="0"/>
    <n v="0"/>
    <n v="0"/>
    <n v="0"/>
    <n v="4"/>
    <n v="63"/>
    <n v="2"/>
    <n v="0"/>
    <n v="0"/>
    <n v="1"/>
    <n v="0"/>
    <n v="0"/>
    <n v="0"/>
    <n v="2"/>
    <n v="154"/>
    <n v="0"/>
    <n v="226"/>
  </r>
  <r>
    <x v="109"/>
    <x v="0"/>
    <n v="0"/>
    <n v="0"/>
    <n v="0"/>
    <n v="8"/>
    <n v="49"/>
    <n v="4"/>
    <n v="0"/>
    <n v="0"/>
    <n v="0"/>
    <n v="0"/>
    <n v="0"/>
    <n v="0"/>
    <n v="0"/>
    <n v="124"/>
    <n v="0"/>
    <n v="185"/>
  </r>
  <r>
    <x v="110"/>
    <x v="0"/>
    <n v="0"/>
    <n v="1"/>
    <n v="0"/>
    <n v="3"/>
    <n v="59"/>
    <n v="0"/>
    <n v="1"/>
    <n v="1"/>
    <n v="0"/>
    <n v="2"/>
    <n v="0"/>
    <n v="0"/>
    <n v="41"/>
    <n v="85"/>
    <n v="0"/>
    <n v="193"/>
  </r>
  <r>
    <x v="111"/>
    <x v="1"/>
    <n v="1"/>
    <n v="0"/>
    <n v="0"/>
    <n v="8"/>
    <n v="46"/>
    <n v="0"/>
    <n v="3"/>
    <n v="0"/>
    <n v="0"/>
    <n v="39"/>
    <n v="0"/>
    <n v="0"/>
    <n v="3805"/>
    <n v="99"/>
    <n v="0"/>
    <n v="4002"/>
  </r>
  <r>
    <x v="112"/>
    <x v="0"/>
    <n v="0"/>
    <n v="1"/>
    <n v="1"/>
    <n v="53"/>
    <n v="75"/>
    <n v="86"/>
    <n v="0"/>
    <n v="0"/>
    <n v="0"/>
    <n v="30"/>
    <n v="1"/>
    <n v="0"/>
    <n v="6715"/>
    <n v="91"/>
    <n v="0"/>
    <n v="7053"/>
  </r>
  <r>
    <x v="113"/>
    <x v="0"/>
    <n v="0"/>
    <n v="0"/>
    <n v="1"/>
    <n v="87"/>
    <n v="113"/>
    <n v="64"/>
    <n v="1"/>
    <n v="1"/>
    <n v="0"/>
    <n v="39"/>
    <n v="4"/>
    <n v="0"/>
    <n v="7273"/>
    <n v="649"/>
    <n v="34"/>
    <n v="8266"/>
  </r>
  <r>
    <x v="114"/>
    <x v="0"/>
    <n v="0"/>
    <n v="0"/>
    <n v="27"/>
    <n v="2"/>
    <n v="47"/>
    <n v="22"/>
    <n v="0"/>
    <n v="27"/>
    <n v="0"/>
    <n v="41"/>
    <n v="2"/>
    <n v="0"/>
    <n v="8255"/>
    <n v="1569"/>
    <n v="100"/>
    <n v="10092"/>
  </r>
  <r>
    <x v="115"/>
    <x v="0"/>
    <n v="0"/>
    <n v="0"/>
    <n v="0"/>
    <n v="0"/>
    <n v="62"/>
    <n v="22"/>
    <n v="0"/>
    <n v="0"/>
    <n v="0"/>
    <n v="0"/>
    <n v="1"/>
    <n v="0"/>
    <n v="667"/>
    <n v="558"/>
    <n v="0"/>
    <n v="1310"/>
  </r>
  <r>
    <x v="116"/>
    <x v="1"/>
    <n v="0"/>
    <n v="0"/>
    <n v="11"/>
    <n v="1"/>
    <n v="255"/>
    <n v="1"/>
    <n v="0"/>
    <n v="73"/>
    <n v="0"/>
    <n v="61"/>
    <n v="1"/>
    <n v="0"/>
    <n v="1950"/>
    <n v="1251"/>
    <n v="0"/>
    <n v="3605"/>
  </r>
  <r>
    <x v="117"/>
    <x v="3"/>
    <n v="0"/>
    <n v="0"/>
    <n v="165"/>
    <n v="28"/>
    <n v="2284"/>
    <n v="679"/>
    <n v="0"/>
    <n v="0"/>
    <n v="0"/>
    <n v="214"/>
    <n v="23"/>
    <n v="0"/>
    <n v="24092"/>
    <n v="42097"/>
    <n v="334"/>
    <n v="69919"/>
  </r>
  <r>
    <x v="118"/>
    <x v="6"/>
    <n v="3"/>
    <n v="0"/>
    <n v="268"/>
    <n v="168"/>
    <n v="6840"/>
    <n v="871"/>
    <n v="0"/>
    <n v="12"/>
    <n v="0"/>
    <n v="9"/>
    <n v="6"/>
    <n v="17"/>
    <n v="44691"/>
    <n v="105401"/>
    <n v="175"/>
    <n v="158470"/>
  </r>
  <r>
    <x v="119"/>
    <x v="5"/>
    <n v="30"/>
    <n v="0"/>
    <n v="244"/>
    <n v="284"/>
    <n v="6715"/>
    <n v="126"/>
    <n v="0"/>
    <n v="1"/>
    <n v="20"/>
    <n v="0"/>
    <n v="30"/>
    <n v="2"/>
    <n v="52296"/>
    <n v="64025"/>
    <n v="90"/>
    <n v="123868"/>
  </r>
  <r>
    <x v="120"/>
    <x v="0"/>
    <n v="2"/>
    <n v="2"/>
    <n v="0"/>
    <n v="12"/>
    <n v="39"/>
    <n v="0"/>
    <n v="0"/>
    <n v="0"/>
    <n v="1"/>
    <n v="0"/>
    <n v="1"/>
    <n v="0"/>
    <n v="4"/>
    <n v="131"/>
    <n v="0"/>
    <n v="192"/>
  </r>
  <r>
    <x v="121"/>
    <x v="0"/>
    <n v="0"/>
    <n v="0"/>
    <n v="0"/>
    <n v="33"/>
    <n v="21"/>
    <n v="4"/>
    <n v="0"/>
    <n v="0"/>
    <n v="0"/>
    <n v="2"/>
    <n v="0"/>
    <n v="0"/>
    <n v="4"/>
    <n v="15"/>
    <n v="0"/>
    <n v="79"/>
  </r>
  <r>
    <x v="122"/>
    <x v="0"/>
    <n v="0"/>
    <n v="0"/>
    <n v="0"/>
    <n v="37"/>
    <n v="26"/>
    <n v="0"/>
    <n v="0"/>
    <n v="0"/>
    <n v="0"/>
    <n v="0"/>
    <n v="0"/>
    <n v="0"/>
    <n v="3"/>
    <n v="8"/>
    <n v="0"/>
    <n v="74"/>
  </r>
  <r>
    <x v="123"/>
    <x v="0"/>
    <n v="1"/>
    <n v="1"/>
    <n v="0"/>
    <n v="6"/>
    <n v="15"/>
    <n v="4"/>
    <n v="0"/>
    <n v="0"/>
    <n v="0"/>
    <n v="0"/>
    <n v="0"/>
    <n v="0"/>
    <n v="1"/>
    <n v="15"/>
    <n v="0"/>
    <n v="43"/>
  </r>
  <r>
    <x v="124"/>
    <x v="0"/>
    <n v="1"/>
    <n v="2"/>
    <n v="0"/>
    <n v="8"/>
    <n v="9"/>
    <n v="0"/>
    <n v="0"/>
    <n v="0"/>
    <n v="0"/>
    <n v="1"/>
    <n v="0"/>
    <n v="0"/>
    <n v="1"/>
    <n v="94"/>
    <n v="0"/>
    <n v="116"/>
  </r>
  <r>
    <x v="125"/>
    <x v="0"/>
    <n v="2"/>
    <n v="2"/>
    <n v="0"/>
    <n v="12"/>
    <n v="39"/>
    <n v="0"/>
    <n v="0"/>
    <n v="0"/>
    <n v="1"/>
    <n v="0"/>
    <n v="1"/>
    <n v="0"/>
    <n v="4"/>
    <n v="131"/>
    <n v="0"/>
    <n v="192"/>
  </r>
  <r>
    <x v="126"/>
    <x v="0"/>
    <n v="0"/>
    <n v="2"/>
    <n v="0"/>
    <n v="5"/>
    <n v="11"/>
    <n v="5"/>
    <n v="0"/>
    <n v="0"/>
    <n v="1"/>
    <n v="0"/>
    <n v="0"/>
    <n v="0"/>
    <n v="3"/>
    <n v="165"/>
    <n v="0"/>
    <n v="192"/>
  </r>
  <r>
    <x v="127"/>
    <x v="0"/>
    <n v="1"/>
    <n v="0"/>
    <n v="0"/>
    <n v="3"/>
    <n v="52"/>
    <n v="2"/>
    <n v="0"/>
    <n v="0"/>
    <n v="0"/>
    <n v="0"/>
    <n v="0"/>
    <n v="0"/>
    <n v="1"/>
    <n v="1172"/>
    <n v="0"/>
    <n v="1231"/>
  </r>
  <r>
    <x v="128"/>
    <x v="0"/>
    <n v="1"/>
    <n v="0"/>
    <n v="0"/>
    <n v="1"/>
    <n v="23"/>
    <n v="0"/>
    <n v="0"/>
    <n v="0"/>
    <n v="0"/>
    <n v="0"/>
    <n v="1"/>
    <n v="0"/>
    <n v="4"/>
    <n v="493"/>
    <n v="0"/>
    <n v="523"/>
  </r>
  <r>
    <x v="129"/>
    <x v="0"/>
    <n v="0"/>
    <n v="0"/>
    <n v="0"/>
    <n v="5"/>
    <n v="42"/>
    <n v="0"/>
    <n v="0"/>
    <n v="0"/>
    <n v="1"/>
    <n v="0"/>
    <n v="0"/>
    <n v="0"/>
    <n v="0"/>
    <n v="369"/>
    <n v="0"/>
    <n v="417"/>
  </r>
  <r>
    <x v="130"/>
    <x v="0"/>
    <n v="0"/>
    <n v="0"/>
    <n v="0"/>
    <n v="8"/>
    <n v="74"/>
    <n v="1"/>
    <n v="0"/>
    <n v="0"/>
    <n v="0"/>
    <n v="0"/>
    <n v="0"/>
    <n v="0"/>
    <n v="2"/>
    <n v="453"/>
    <n v="0"/>
    <n v="538"/>
  </r>
  <r>
    <x v="131"/>
    <x v="0"/>
    <n v="1"/>
    <n v="1"/>
    <n v="0"/>
    <n v="6"/>
    <n v="48"/>
    <n v="2"/>
    <n v="1"/>
    <n v="0"/>
    <n v="0"/>
    <n v="1"/>
    <n v="0"/>
    <n v="1"/>
    <n v="3"/>
    <n v="434"/>
    <n v="0"/>
    <n v="498"/>
  </r>
  <r>
    <x v="132"/>
    <x v="0"/>
    <n v="0"/>
    <n v="0"/>
    <n v="0"/>
    <n v="6"/>
    <n v="53"/>
    <n v="0"/>
    <n v="0"/>
    <n v="0"/>
    <n v="0"/>
    <n v="0"/>
    <n v="1"/>
    <n v="0"/>
    <n v="4"/>
    <n v="147"/>
    <n v="0"/>
    <n v="211"/>
  </r>
  <r>
    <x v="133"/>
    <x v="0"/>
    <n v="0"/>
    <n v="0"/>
    <n v="0"/>
    <n v="9"/>
    <n v="25"/>
    <n v="0"/>
    <n v="0"/>
    <n v="0"/>
    <n v="0"/>
    <n v="1"/>
    <n v="0"/>
    <n v="0"/>
    <n v="1"/>
    <n v="108"/>
    <n v="0"/>
    <n v="144"/>
  </r>
  <r>
    <x v="134"/>
    <x v="1"/>
    <n v="1"/>
    <n v="0"/>
    <n v="0"/>
    <n v="3"/>
    <n v="70"/>
    <n v="10"/>
    <n v="0"/>
    <n v="0"/>
    <n v="0"/>
    <n v="0"/>
    <n v="0"/>
    <n v="0"/>
    <n v="46"/>
    <n v="157"/>
    <n v="0"/>
    <n v="288"/>
  </r>
  <r>
    <x v="135"/>
    <x v="0"/>
    <n v="0"/>
    <n v="0"/>
    <n v="0"/>
    <n v="8"/>
    <n v="47"/>
    <n v="1"/>
    <n v="0"/>
    <n v="0"/>
    <n v="0"/>
    <n v="17"/>
    <n v="0"/>
    <n v="0"/>
    <n v="4896"/>
    <n v="147"/>
    <n v="0"/>
    <n v="5116"/>
  </r>
  <r>
    <x v="136"/>
    <x v="0"/>
    <n v="0"/>
    <n v="0"/>
    <n v="0"/>
    <n v="68"/>
    <n v="80"/>
    <n v="1"/>
    <n v="0"/>
    <n v="1"/>
    <n v="0"/>
    <n v="45"/>
    <n v="2"/>
    <n v="0"/>
    <n v="7175"/>
    <n v="136"/>
    <n v="0"/>
    <n v="7508"/>
  </r>
  <r>
    <x v="137"/>
    <x v="0"/>
    <n v="0"/>
    <n v="0"/>
    <n v="1"/>
    <n v="78"/>
    <n v="123"/>
    <n v="87"/>
    <n v="0"/>
    <n v="0"/>
    <n v="0"/>
    <n v="31"/>
    <n v="23"/>
    <n v="0"/>
    <n v="7531"/>
    <n v="954"/>
    <n v="0"/>
    <n v="8828"/>
  </r>
  <r>
    <x v="138"/>
    <x v="0"/>
    <n v="0"/>
    <n v="0"/>
    <n v="15"/>
    <n v="3"/>
    <n v="33"/>
    <n v="24"/>
    <n v="0"/>
    <n v="15"/>
    <n v="0"/>
    <n v="127"/>
    <n v="6"/>
    <n v="0"/>
    <n v="9180"/>
    <n v="1656"/>
    <n v="102"/>
    <n v="11161"/>
  </r>
  <r>
    <x v="139"/>
    <x v="0"/>
    <n v="0"/>
    <n v="0"/>
    <n v="0"/>
    <n v="0"/>
    <n v="241"/>
    <n v="55"/>
    <n v="0"/>
    <n v="0"/>
    <n v="0"/>
    <n v="16"/>
    <n v="8"/>
    <n v="0"/>
    <n v="4656"/>
    <n v="1478"/>
    <n v="35"/>
    <n v="6489"/>
  </r>
  <r>
    <x v="140"/>
    <x v="0"/>
    <n v="0"/>
    <n v="0"/>
    <n v="41"/>
    <n v="217"/>
    <n v="800"/>
    <n v="18"/>
    <n v="0"/>
    <n v="29"/>
    <n v="0"/>
    <n v="197"/>
    <n v="1"/>
    <n v="0"/>
    <n v="6345"/>
    <n v="4684"/>
    <n v="0"/>
    <n v="12332"/>
  </r>
  <r>
    <x v="141"/>
    <x v="1"/>
    <n v="0"/>
    <n v="0"/>
    <n v="145"/>
    <n v="50"/>
    <n v="2938"/>
    <n v="276"/>
    <n v="0"/>
    <n v="0"/>
    <n v="0"/>
    <n v="192"/>
    <n v="40"/>
    <n v="2"/>
    <n v="27830"/>
    <n v="43944"/>
    <n v="463"/>
    <n v="75881"/>
  </r>
  <r>
    <x v="142"/>
    <x v="5"/>
    <n v="2"/>
    <n v="0"/>
    <n v="204"/>
    <n v="195"/>
    <n v="6960"/>
    <n v="1010"/>
    <n v="0"/>
    <n v="0"/>
    <n v="0"/>
    <n v="8"/>
    <n v="23"/>
    <n v="0"/>
    <n v="48131"/>
    <n v="46102"/>
    <n v="6"/>
    <n v="102646"/>
  </r>
  <r>
    <x v="143"/>
    <x v="7"/>
    <n v="3"/>
    <n v="0"/>
    <n v="129"/>
    <n v="375"/>
    <n v="5833"/>
    <n v="357"/>
    <n v="0"/>
    <n v="0"/>
    <n v="0"/>
    <n v="0"/>
    <n v="29"/>
    <n v="2"/>
    <n v="49158"/>
    <n v="53299"/>
    <n v="115"/>
    <n v="109302"/>
  </r>
  <r>
    <x v="144"/>
    <x v="0"/>
    <n v="2"/>
    <n v="0"/>
    <n v="0"/>
    <n v="9"/>
    <n v="30"/>
    <n v="1"/>
    <n v="0"/>
    <n v="0"/>
    <n v="1"/>
    <n v="1"/>
    <n v="0"/>
    <n v="0"/>
    <n v="2"/>
    <n v="117"/>
    <n v="0"/>
    <n v="163"/>
  </r>
  <r>
    <x v="145"/>
    <x v="0"/>
    <n v="0"/>
    <n v="0"/>
    <n v="0"/>
    <n v="26"/>
    <n v="19"/>
    <n v="0"/>
    <n v="0"/>
    <n v="0"/>
    <n v="0"/>
    <n v="0"/>
    <n v="0"/>
    <n v="0"/>
    <n v="3"/>
    <n v="19"/>
    <n v="0"/>
    <n v="67"/>
  </r>
  <r>
    <x v="146"/>
    <x v="0"/>
    <n v="0"/>
    <n v="0"/>
    <n v="0"/>
    <n v="8"/>
    <n v="22"/>
    <n v="1"/>
    <n v="0"/>
    <n v="0"/>
    <n v="0"/>
    <n v="0"/>
    <n v="0"/>
    <n v="0"/>
    <n v="5"/>
    <n v="18"/>
    <n v="0"/>
    <n v="54"/>
  </r>
  <r>
    <x v="147"/>
    <x v="0"/>
    <n v="1"/>
    <n v="1"/>
    <n v="0"/>
    <n v="13"/>
    <n v="20"/>
    <n v="0"/>
    <n v="0"/>
    <n v="0"/>
    <n v="0"/>
    <n v="0"/>
    <n v="0"/>
    <n v="0"/>
    <n v="0"/>
    <n v="17"/>
    <n v="0"/>
    <n v="52"/>
  </r>
  <r>
    <x v="148"/>
    <x v="0"/>
    <n v="0"/>
    <n v="1"/>
    <n v="0"/>
    <n v="9"/>
    <n v="31"/>
    <n v="4"/>
    <n v="0"/>
    <n v="0"/>
    <n v="0"/>
    <n v="0"/>
    <n v="0"/>
    <n v="0"/>
    <n v="1"/>
    <n v="74"/>
    <n v="0"/>
    <n v="120"/>
  </r>
  <r>
    <x v="149"/>
    <x v="0"/>
    <n v="2"/>
    <n v="0"/>
    <n v="0"/>
    <n v="9"/>
    <n v="30"/>
    <n v="1"/>
    <n v="0"/>
    <n v="0"/>
    <n v="1"/>
    <n v="1"/>
    <n v="0"/>
    <n v="0"/>
    <n v="2"/>
    <n v="117"/>
    <n v="0"/>
    <n v="163"/>
  </r>
  <r>
    <x v="150"/>
    <x v="0"/>
    <n v="0"/>
    <n v="2"/>
    <n v="0"/>
    <n v="6"/>
    <n v="54"/>
    <n v="2"/>
    <n v="0"/>
    <n v="0"/>
    <n v="0"/>
    <n v="1"/>
    <n v="0"/>
    <n v="0"/>
    <n v="2"/>
    <n v="145"/>
    <n v="0"/>
    <n v="212"/>
  </r>
  <r>
    <x v="151"/>
    <x v="0"/>
    <n v="0"/>
    <n v="4"/>
    <n v="0"/>
    <n v="5"/>
    <n v="90"/>
    <n v="1"/>
    <n v="0"/>
    <n v="0"/>
    <n v="0"/>
    <n v="0"/>
    <n v="0"/>
    <n v="0"/>
    <n v="0"/>
    <n v="1592"/>
    <n v="0"/>
    <n v="1692"/>
  </r>
  <r>
    <x v="152"/>
    <x v="0"/>
    <n v="0"/>
    <n v="0"/>
    <n v="0"/>
    <n v="0"/>
    <n v="44"/>
    <n v="1"/>
    <n v="0"/>
    <n v="0"/>
    <n v="0"/>
    <n v="0"/>
    <n v="0"/>
    <n v="0"/>
    <n v="2"/>
    <n v="536"/>
    <n v="0"/>
    <n v="583"/>
  </r>
  <r>
    <x v="153"/>
    <x v="0"/>
    <n v="3"/>
    <n v="1"/>
    <n v="0"/>
    <n v="5"/>
    <n v="30"/>
    <n v="2"/>
    <n v="0"/>
    <n v="0"/>
    <n v="1"/>
    <n v="0"/>
    <n v="0"/>
    <n v="0"/>
    <n v="5"/>
    <n v="386"/>
    <n v="0"/>
    <n v="433"/>
  </r>
  <r>
    <x v="154"/>
    <x v="0"/>
    <n v="1"/>
    <n v="1"/>
    <n v="0"/>
    <n v="9"/>
    <n v="60"/>
    <n v="1"/>
    <n v="0"/>
    <n v="0"/>
    <n v="0"/>
    <n v="1"/>
    <n v="0"/>
    <n v="0"/>
    <n v="2"/>
    <n v="415"/>
    <n v="0"/>
    <n v="490"/>
  </r>
  <r>
    <x v="155"/>
    <x v="0"/>
    <n v="2"/>
    <n v="0"/>
    <n v="0"/>
    <n v="4"/>
    <n v="54"/>
    <n v="2"/>
    <n v="0"/>
    <n v="0"/>
    <n v="0"/>
    <n v="2"/>
    <n v="0"/>
    <n v="0"/>
    <n v="1"/>
    <n v="377"/>
    <n v="0"/>
    <n v="442"/>
  </r>
  <r>
    <x v="156"/>
    <x v="0"/>
    <n v="1"/>
    <n v="0"/>
    <n v="0"/>
    <n v="8"/>
    <n v="41"/>
    <n v="3"/>
    <n v="0"/>
    <n v="0"/>
    <n v="0"/>
    <n v="0"/>
    <n v="0"/>
    <n v="0"/>
    <n v="6"/>
    <n v="137"/>
    <n v="0"/>
    <n v="196"/>
  </r>
  <r>
    <x v="157"/>
    <x v="0"/>
    <n v="0"/>
    <n v="0"/>
    <n v="0"/>
    <n v="9"/>
    <n v="30"/>
    <n v="0"/>
    <n v="0"/>
    <n v="0"/>
    <n v="0"/>
    <n v="4"/>
    <n v="0"/>
    <n v="0"/>
    <n v="1"/>
    <n v="153"/>
    <n v="0"/>
    <n v="197"/>
  </r>
  <r>
    <x v="158"/>
    <x v="0"/>
    <n v="1"/>
    <n v="0"/>
    <n v="1"/>
    <n v="5"/>
    <n v="77"/>
    <n v="11"/>
    <n v="1"/>
    <n v="0"/>
    <n v="0"/>
    <n v="1"/>
    <n v="0"/>
    <n v="0"/>
    <n v="173"/>
    <n v="111"/>
    <n v="0"/>
    <n v="381"/>
  </r>
  <r>
    <x v="159"/>
    <x v="0"/>
    <n v="0"/>
    <n v="1"/>
    <n v="0"/>
    <n v="9"/>
    <n v="52"/>
    <n v="0"/>
    <n v="0"/>
    <n v="0"/>
    <n v="0"/>
    <n v="11"/>
    <n v="0"/>
    <n v="0"/>
    <n v="4172"/>
    <n v="130"/>
    <n v="0"/>
    <n v="4375"/>
  </r>
  <r>
    <x v="160"/>
    <x v="0"/>
    <n v="0"/>
    <n v="0"/>
    <n v="0"/>
    <n v="47"/>
    <n v="73"/>
    <n v="0"/>
    <n v="0"/>
    <n v="0"/>
    <n v="0"/>
    <n v="35"/>
    <n v="1"/>
    <n v="0"/>
    <n v="8771"/>
    <n v="116"/>
    <n v="0"/>
    <n v="9043"/>
  </r>
  <r>
    <x v="161"/>
    <x v="0"/>
    <n v="0"/>
    <n v="0"/>
    <n v="0"/>
    <n v="97"/>
    <n v="91"/>
    <n v="87"/>
    <n v="0"/>
    <n v="0"/>
    <n v="2"/>
    <n v="59"/>
    <n v="23"/>
    <n v="0"/>
    <n v="9819"/>
    <n v="1215"/>
    <n v="5"/>
    <n v="11398"/>
  </r>
  <r>
    <x v="162"/>
    <x v="0"/>
    <n v="0"/>
    <n v="0"/>
    <n v="35"/>
    <n v="5"/>
    <n v="67"/>
    <n v="45"/>
    <n v="0"/>
    <n v="0"/>
    <n v="0"/>
    <n v="13"/>
    <n v="2"/>
    <n v="0"/>
    <n v="10745"/>
    <n v="1558"/>
    <n v="11"/>
    <n v="12481"/>
  </r>
  <r>
    <x v="163"/>
    <x v="0"/>
    <n v="0"/>
    <n v="0"/>
    <n v="0"/>
    <n v="1"/>
    <n v="351"/>
    <n v="7"/>
    <n v="0"/>
    <n v="0"/>
    <n v="0"/>
    <n v="78"/>
    <n v="2"/>
    <n v="0"/>
    <n v="5870"/>
    <n v="1485"/>
    <n v="5"/>
    <n v="7799"/>
  </r>
  <r>
    <x v="164"/>
    <x v="0"/>
    <n v="0"/>
    <n v="0"/>
    <n v="39"/>
    <n v="135"/>
    <n v="1070"/>
    <n v="50"/>
    <n v="0"/>
    <n v="10"/>
    <n v="0"/>
    <n v="300"/>
    <n v="20"/>
    <n v="1"/>
    <n v="11851"/>
    <n v="14671"/>
    <n v="20"/>
    <n v="28167"/>
  </r>
  <r>
    <x v="165"/>
    <x v="1"/>
    <n v="0"/>
    <n v="0"/>
    <n v="207"/>
    <n v="29"/>
    <n v="2957"/>
    <n v="457"/>
    <n v="0"/>
    <n v="0"/>
    <n v="0"/>
    <n v="111"/>
    <n v="30"/>
    <n v="3"/>
    <n v="30473"/>
    <n v="46442"/>
    <n v="167"/>
    <n v="80877"/>
  </r>
  <r>
    <x v="166"/>
    <x v="7"/>
    <n v="13"/>
    <n v="0"/>
    <n v="142"/>
    <n v="205"/>
    <n v="6920"/>
    <n v="848"/>
    <n v="0"/>
    <n v="2"/>
    <n v="0"/>
    <n v="0"/>
    <n v="15"/>
    <n v="0"/>
    <n v="53858"/>
    <n v="54429"/>
    <n v="188"/>
    <n v="116622"/>
  </r>
  <r>
    <x v="167"/>
    <x v="1"/>
    <n v="3"/>
    <n v="0"/>
    <n v="390"/>
    <n v="340"/>
    <n v="6343"/>
    <n v="232"/>
    <n v="0"/>
    <n v="2"/>
    <n v="0"/>
    <n v="0"/>
    <n v="37"/>
    <n v="0"/>
    <n v="59147"/>
    <n v="61237"/>
    <n v="180"/>
    <n v="127912"/>
  </r>
  <r>
    <x v="168"/>
    <x v="0"/>
    <n v="0"/>
    <n v="0"/>
    <n v="0"/>
    <n v="6"/>
    <n v="44"/>
    <n v="0"/>
    <n v="0"/>
    <n v="0"/>
    <n v="0"/>
    <n v="0"/>
    <n v="2"/>
    <n v="0"/>
    <n v="6"/>
    <n v="126"/>
    <n v="0"/>
    <n v="184"/>
  </r>
  <r>
    <x v="169"/>
    <x v="0"/>
    <n v="0"/>
    <n v="0"/>
    <n v="1"/>
    <n v="27"/>
    <n v="27"/>
    <n v="11"/>
    <n v="0"/>
    <n v="0"/>
    <n v="1"/>
    <n v="1"/>
    <n v="0"/>
    <n v="0"/>
    <n v="4"/>
    <n v="16"/>
    <n v="0"/>
    <n v="88"/>
  </r>
  <r>
    <x v="170"/>
    <x v="0"/>
    <n v="1"/>
    <n v="0"/>
    <n v="0"/>
    <n v="10"/>
    <n v="28"/>
    <n v="4"/>
    <n v="0"/>
    <n v="0"/>
    <n v="0"/>
    <n v="1"/>
    <n v="0"/>
    <n v="0"/>
    <n v="0"/>
    <n v="13"/>
    <n v="0"/>
    <n v="57"/>
  </r>
  <r>
    <x v="171"/>
    <x v="0"/>
    <n v="1"/>
    <n v="1"/>
    <n v="0"/>
    <n v="8"/>
    <n v="9"/>
    <n v="0"/>
    <n v="0"/>
    <n v="0"/>
    <n v="0"/>
    <n v="0"/>
    <n v="0"/>
    <n v="0"/>
    <n v="1"/>
    <n v="12"/>
    <n v="0"/>
    <n v="32"/>
  </r>
  <r>
    <x v="172"/>
    <x v="0"/>
    <n v="0"/>
    <n v="0"/>
    <n v="0"/>
    <n v="5"/>
    <n v="25"/>
    <n v="0"/>
    <n v="1"/>
    <n v="0"/>
    <n v="0"/>
    <n v="0"/>
    <n v="0"/>
    <n v="0"/>
    <n v="1"/>
    <n v="105"/>
    <n v="0"/>
    <n v="137"/>
  </r>
  <r>
    <x v="173"/>
    <x v="0"/>
    <n v="0"/>
    <n v="0"/>
    <n v="0"/>
    <n v="6"/>
    <n v="44"/>
    <n v="0"/>
    <n v="0"/>
    <n v="0"/>
    <n v="0"/>
    <n v="0"/>
    <n v="2"/>
    <n v="0"/>
    <n v="6"/>
    <n v="126"/>
    <n v="0"/>
    <n v="184"/>
  </r>
  <r>
    <x v="174"/>
    <x v="0"/>
    <n v="0"/>
    <n v="2"/>
    <n v="0"/>
    <n v="7"/>
    <n v="31"/>
    <n v="0"/>
    <n v="0"/>
    <n v="0"/>
    <n v="0"/>
    <n v="0"/>
    <n v="0"/>
    <n v="0"/>
    <n v="1"/>
    <n v="165"/>
    <n v="0"/>
    <n v="206"/>
  </r>
  <r>
    <x v="175"/>
    <x v="0"/>
    <n v="1"/>
    <n v="0"/>
    <n v="0"/>
    <n v="2"/>
    <n v="62"/>
    <n v="1"/>
    <n v="0"/>
    <n v="0"/>
    <n v="0"/>
    <n v="0"/>
    <n v="0"/>
    <n v="0"/>
    <n v="4"/>
    <n v="1389"/>
    <n v="0"/>
    <n v="1459"/>
  </r>
  <r>
    <x v="176"/>
    <x v="0"/>
    <n v="0"/>
    <n v="0"/>
    <n v="0"/>
    <n v="4"/>
    <n v="28"/>
    <n v="0"/>
    <n v="0"/>
    <n v="0"/>
    <n v="0"/>
    <n v="0"/>
    <n v="0"/>
    <n v="0"/>
    <n v="2"/>
    <n v="424"/>
    <n v="0"/>
    <n v="458"/>
  </r>
  <r>
    <x v="177"/>
    <x v="0"/>
    <n v="1"/>
    <n v="0"/>
    <n v="0"/>
    <n v="4"/>
    <n v="42"/>
    <n v="3"/>
    <n v="0"/>
    <n v="0"/>
    <n v="0"/>
    <n v="0"/>
    <n v="1"/>
    <n v="0"/>
    <n v="4"/>
    <n v="323"/>
    <n v="0"/>
    <n v="378"/>
  </r>
  <r>
    <x v="178"/>
    <x v="0"/>
    <n v="2"/>
    <n v="0"/>
    <n v="0"/>
    <n v="9"/>
    <n v="65"/>
    <n v="1"/>
    <n v="0"/>
    <n v="0"/>
    <n v="0"/>
    <n v="0"/>
    <n v="0"/>
    <n v="0"/>
    <n v="4"/>
    <n v="417"/>
    <n v="0"/>
    <n v="498"/>
  </r>
  <r>
    <x v="179"/>
    <x v="0"/>
    <n v="0"/>
    <n v="1"/>
    <n v="0"/>
    <n v="6"/>
    <n v="41"/>
    <n v="2"/>
    <n v="0"/>
    <n v="0"/>
    <n v="1"/>
    <n v="1"/>
    <n v="0"/>
    <n v="0"/>
    <n v="5"/>
    <n v="320"/>
    <n v="0"/>
    <n v="377"/>
  </r>
  <r>
    <x v="180"/>
    <x v="0"/>
    <n v="0"/>
    <n v="0"/>
    <n v="0"/>
    <n v="9"/>
    <n v="41"/>
    <n v="2"/>
    <n v="0"/>
    <n v="0"/>
    <n v="0"/>
    <n v="0"/>
    <n v="0"/>
    <n v="0"/>
    <n v="1"/>
    <n v="114"/>
    <n v="0"/>
    <n v="167"/>
  </r>
  <r>
    <x v="181"/>
    <x v="0"/>
    <n v="0"/>
    <n v="0"/>
    <n v="0"/>
    <n v="2"/>
    <n v="64"/>
    <n v="0"/>
    <n v="0"/>
    <n v="0"/>
    <n v="0"/>
    <n v="0"/>
    <n v="2"/>
    <n v="0"/>
    <n v="0"/>
    <n v="112"/>
    <n v="0"/>
    <n v="180"/>
  </r>
  <r>
    <x v="182"/>
    <x v="0"/>
    <n v="0"/>
    <n v="0"/>
    <n v="0"/>
    <n v="4"/>
    <n v="61"/>
    <n v="6"/>
    <n v="0"/>
    <n v="0"/>
    <n v="0"/>
    <n v="2"/>
    <n v="0"/>
    <n v="0"/>
    <n v="519"/>
    <n v="118"/>
    <n v="0"/>
    <n v="710"/>
  </r>
  <r>
    <x v="183"/>
    <x v="0"/>
    <n v="1"/>
    <n v="0"/>
    <n v="0"/>
    <n v="6"/>
    <n v="64"/>
    <n v="1"/>
    <n v="0"/>
    <n v="0"/>
    <n v="0"/>
    <n v="11"/>
    <n v="1"/>
    <n v="0"/>
    <n v="3850"/>
    <n v="84"/>
    <n v="0"/>
    <n v="4018"/>
  </r>
  <r>
    <x v="184"/>
    <x v="0"/>
    <n v="0"/>
    <n v="0"/>
    <n v="0"/>
    <n v="42"/>
    <n v="81"/>
    <n v="13"/>
    <n v="0"/>
    <n v="0"/>
    <n v="0"/>
    <n v="28"/>
    <n v="2"/>
    <n v="0"/>
    <n v="8903"/>
    <n v="100"/>
    <n v="0"/>
    <n v="9169"/>
  </r>
  <r>
    <x v="185"/>
    <x v="0"/>
    <n v="0"/>
    <n v="0"/>
    <n v="0"/>
    <n v="81"/>
    <n v="71"/>
    <n v="45"/>
    <n v="0"/>
    <n v="0"/>
    <n v="0"/>
    <n v="32"/>
    <n v="14"/>
    <n v="0"/>
    <n v="9975"/>
    <n v="1498"/>
    <n v="75"/>
    <n v="11791"/>
  </r>
  <r>
    <x v="186"/>
    <x v="0"/>
    <n v="0"/>
    <n v="0"/>
    <n v="80"/>
    <n v="11"/>
    <n v="83"/>
    <n v="22"/>
    <n v="0"/>
    <n v="0"/>
    <n v="0"/>
    <n v="30"/>
    <n v="70"/>
    <n v="0"/>
    <n v="11458"/>
    <n v="1505"/>
    <n v="2"/>
    <n v="13261"/>
  </r>
  <r>
    <x v="187"/>
    <x v="0"/>
    <n v="0"/>
    <n v="0"/>
    <n v="0"/>
    <n v="0"/>
    <n v="363"/>
    <n v="7"/>
    <n v="0"/>
    <n v="0"/>
    <n v="0"/>
    <n v="130"/>
    <n v="15"/>
    <n v="0"/>
    <n v="5925"/>
    <n v="2117"/>
    <n v="1"/>
    <n v="8558"/>
  </r>
  <r>
    <x v="188"/>
    <x v="0"/>
    <n v="0"/>
    <n v="2"/>
    <n v="77"/>
    <n v="85"/>
    <n v="1082"/>
    <n v="20"/>
    <n v="0"/>
    <n v="3"/>
    <n v="0"/>
    <n v="175"/>
    <n v="20"/>
    <n v="1"/>
    <n v="13306"/>
    <n v="16023"/>
    <n v="39"/>
    <n v="30833"/>
  </r>
  <r>
    <x v="189"/>
    <x v="1"/>
    <n v="0"/>
    <n v="0"/>
    <n v="222"/>
    <n v="29"/>
    <n v="2918"/>
    <n v="452"/>
    <n v="0"/>
    <n v="5"/>
    <n v="0"/>
    <n v="75"/>
    <n v="40"/>
    <n v="1"/>
    <n v="33040"/>
    <n v="51956"/>
    <n v="272"/>
    <n v="89011"/>
  </r>
  <r>
    <x v="190"/>
    <x v="3"/>
    <n v="12"/>
    <n v="0"/>
    <n v="247"/>
    <n v="262"/>
    <n v="6302"/>
    <n v="714"/>
    <n v="0"/>
    <n v="22"/>
    <n v="0"/>
    <n v="0"/>
    <n v="11"/>
    <n v="3"/>
    <n v="56852"/>
    <n v="62644"/>
    <n v="133"/>
    <n v="127205"/>
  </r>
  <r>
    <x v="191"/>
    <x v="0"/>
    <n v="0"/>
    <n v="0"/>
    <n v="23"/>
    <n v="14"/>
    <n v="445"/>
    <n v="39"/>
    <n v="0"/>
    <n v="0"/>
    <n v="0"/>
    <n v="0"/>
    <n v="3"/>
    <n v="0"/>
    <n v="4909"/>
    <n v="3937"/>
    <n v="1"/>
    <n v="9371"/>
  </r>
  <r>
    <x v="192"/>
    <x v="0"/>
    <n v="1"/>
    <n v="4"/>
    <n v="0"/>
    <n v="49"/>
    <n v="37"/>
    <n v="3"/>
    <n v="0"/>
    <n v="0"/>
    <n v="0"/>
    <n v="3"/>
    <n v="0"/>
    <n v="0"/>
    <n v="6"/>
    <n v="119"/>
    <n v="0"/>
    <n v="222"/>
  </r>
  <r>
    <x v="193"/>
    <x v="0"/>
    <n v="0"/>
    <n v="0"/>
    <n v="1"/>
    <n v="26"/>
    <n v="23"/>
    <n v="0"/>
    <n v="1"/>
    <n v="0"/>
    <n v="0"/>
    <n v="0"/>
    <n v="0"/>
    <n v="0"/>
    <n v="6"/>
    <n v="13"/>
    <n v="0"/>
    <n v="70"/>
  </r>
  <r>
    <x v="194"/>
    <x v="0"/>
    <n v="0"/>
    <n v="1"/>
    <n v="0"/>
    <n v="6"/>
    <n v="26"/>
    <n v="0"/>
    <n v="0"/>
    <n v="0"/>
    <n v="0"/>
    <n v="0"/>
    <n v="0"/>
    <n v="0"/>
    <n v="1"/>
    <n v="15"/>
    <n v="0"/>
    <n v="49"/>
  </r>
  <r>
    <x v="195"/>
    <x v="0"/>
    <n v="0"/>
    <n v="2"/>
    <n v="0"/>
    <n v="4"/>
    <n v="22"/>
    <n v="1"/>
    <n v="0"/>
    <n v="0"/>
    <n v="0"/>
    <n v="0"/>
    <n v="1"/>
    <n v="0"/>
    <n v="2"/>
    <n v="24"/>
    <n v="0"/>
    <n v="56"/>
  </r>
  <r>
    <x v="196"/>
    <x v="0"/>
    <n v="2"/>
    <n v="0"/>
    <n v="0"/>
    <n v="11"/>
    <n v="24"/>
    <n v="1"/>
    <n v="0"/>
    <n v="0"/>
    <n v="0"/>
    <n v="1"/>
    <n v="1"/>
    <n v="0"/>
    <n v="2"/>
    <n v="76"/>
    <n v="0"/>
    <n v="118"/>
  </r>
  <r>
    <x v="197"/>
    <x v="0"/>
    <n v="1"/>
    <n v="4"/>
    <n v="0"/>
    <n v="49"/>
    <n v="37"/>
    <n v="3"/>
    <n v="0"/>
    <n v="0"/>
    <n v="0"/>
    <n v="3"/>
    <n v="0"/>
    <n v="0"/>
    <n v="6"/>
    <n v="119"/>
    <n v="0"/>
    <n v="222"/>
  </r>
  <r>
    <x v="198"/>
    <x v="0"/>
    <n v="1"/>
    <n v="1"/>
    <n v="0"/>
    <n v="5"/>
    <n v="35"/>
    <n v="2"/>
    <n v="0"/>
    <n v="0"/>
    <n v="0"/>
    <n v="0"/>
    <n v="0"/>
    <n v="0"/>
    <n v="7"/>
    <n v="124"/>
    <n v="0"/>
    <n v="175"/>
  </r>
  <r>
    <x v="199"/>
    <x v="0"/>
    <n v="1"/>
    <n v="0"/>
    <n v="1"/>
    <n v="2"/>
    <n v="56"/>
    <n v="0"/>
    <n v="0"/>
    <n v="0"/>
    <n v="0"/>
    <n v="0"/>
    <n v="0"/>
    <n v="0"/>
    <n v="6"/>
    <n v="1145"/>
    <n v="0"/>
    <n v="1211"/>
  </r>
  <r>
    <x v="200"/>
    <x v="0"/>
    <n v="0"/>
    <n v="0"/>
    <n v="0"/>
    <n v="0"/>
    <n v="41"/>
    <n v="2"/>
    <n v="0"/>
    <n v="0"/>
    <n v="0"/>
    <n v="0"/>
    <n v="0"/>
    <n v="0"/>
    <n v="7"/>
    <n v="445"/>
    <n v="0"/>
    <n v="495"/>
  </r>
  <r>
    <x v="201"/>
    <x v="0"/>
    <n v="1"/>
    <n v="0"/>
    <n v="0"/>
    <n v="6"/>
    <n v="45"/>
    <n v="1"/>
    <n v="0"/>
    <n v="0"/>
    <n v="0"/>
    <n v="0"/>
    <n v="0"/>
    <n v="0"/>
    <n v="0"/>
    <n v="281"/>
    <n v="0"/>
    <n v="334"/>
  </r>
  <r>
    <x v="202"/>
    <x v="0"/>
    <n v="0"/>
    <n v="0"/>
    <n v="0"/>
    <n v="5"/>
    <n v="41"/>
    <n v="1"/>
    <n v="1"/>
    <n v="0"/>
    <n v="0"/>
    <n v="1"/>
    <n v="0"/>
    <n v="0"/>
    <n v="2"/>
    <n v="499"/>
    <n v="0"/>
    <n v="550"/>
  </r>
  <r>
    <x v="203"/>
    <x v="0"/>
    <n v="2"/>
    <n v="1"/>
    <n v="0"/>
    <n v="30"/>
    <n v="31"/>
    <n v="2"/>
    <n v="0"/>
    <n v="0"/>
    <n v="1"/>
    <n v="0"/>
    <n v="0"/>
    <n v="0"/>
    <n v="1"/>
    <n v="191"/>
    <n v="1"/>
    <n v="260"/>
  </r>
  <r>
    <x v="204"/>
    <x v="0"/>
    <n v="2"/>
    <n v="0"/>
    <n v="0"/>
    <n v="7"/>
    <n v="35"/>
    <n v="1"/>
    <n v="0"/>
    <n v="0"/>
    <n v="1"/>
    <n v="1"/>
    <n v="0"/>
    <n v="0"/>
    <n v="3"/>
    <n v="170"/>
    <n v="0"/>
    <n v="220"/>
  </r>
  <r>
    <x v="205"/>
    <x v="0"/>
    <n v="2"/>
    <n v="0"/>
    <n v="0"/>
    <n v="1"/>
    <n v="63"/>
    <n v="2"/>
    <n v="0"/>
    <n v="0"/>
    <n v="0"/>
    <n v="3"/>
    <n v="0"/>
    <n v="0"/>
    <n v="0"/>
    <n v="97"/>
    <n v="0"/>
    <n v="168"/>
  </r>
  <r>
    <x v="206"/>
    <x v="0"/>
    <n v="0"/>
    <n v="0"/>
    <n v="0"/>
    <n v="7"/>
    <n v="57"/>
    <n v="6"/>
    <n v="0"/>
    <n v="0"/>
    <n v="0"/>
    <n v="1"/>
    <n v="0"/>
    <n v="0"/>
    <n v="773"/>
    <n v="124"/>
    <n v="0"/>
    <n v="968"/>
  </r>
  <r>
    <x v="207"/>
    <x v="0"/>
    <n v="0"/>
    <n v="2"/>
    <n v="0"/>
    <n v="2"/>
    <n v="54"/>
    <n v="2"/>
    <n v="0"/>
    <n v="0"/>
    <n v="0"/>
    <n v="11"/>
    <n v="0"/>
    <n v="0"/>
    <n v="3998"/>
    <n v="104"/>
    <n v="0"/>
    <n v="4173"/>
  </r>
  <r>
    <x v="208"/>
    <x v="0"/>
    <n v="0"/>
    <n v="0"/>
    <n v="0"/>
    <n v="76"/>
    <n v="107"/>
    <n v="9"/>
    <n v="0"/>
    <n v="0"/>
    <n v="0"/>
    <n v="19"/>
    <n v="3"/>
    <n v="0"/>
    <n v="7412"/>
    <n v="109"/>
    <n v="0"/>
    <n v="7735"/>
  </r>
  <r>
    <x v="209"/>
    <x v="0"/>
    <n v="0"/>
    <n v="0"/>
    <n v="0"/>
    <n v="33"/>
    <n v="96"/>
    <n v="44"/>
    <n v="0"/>
    <n v="0"/>
    <n v="0"/>
    <n v="30"/>
    <n v="3"/>
    <n v="0"/>
    <n v="11124"/>
    <n v="2221"/>
    <n v="39"/>
    <n v="13590"/>
  </r>
  <r>
    <x v="210"/>
    <x v="0"/>
    <n v="0"/>
    <n v="0"/>
    <n v="33"/>
    <n v="0"/>
    <n v="67"/>
    <n v="113"/>
    <n v="0"/>
    <n v="0"/>
    <n v="0"/>
    <n v="33"/>
    <n v="8"/>
    <n v="0"/>
    <n v="14333"/>
    <n v="1540"/>
    <n v="17"/>
    <n v="16144"/>
  </r>
  <r>
    <x v="211"/>
    <x v="0"/>
    <n v="0"/>
    <n v="0"/>
    <n v="1"/>
    <n v="3"/>
    <n v="321"/>
    <n v="17"/>
    <n v="0"/>
    <n v="0"/>
    <n v="0"/>
    <n v="171"/>
    <n v="11"/>
    <n v="0"/>
    <n v="7738"/>
    <n v="3087"/>
    <n v="0"/>
    <n v="11349"/>
  </r>
  <r>
    <x v="212"/>
    <x v="0"/>
    <n v="0"/>
    <n v="1"/>
    <n v="79"/>
    <n v="29"/>
    <n v="1182"/>
    <n v="140"/>
    <n v="0"/>
    <n v="0"/>
    <n v="0"/>
    <n v="161"/>
    <n v="20"/>
    <n v="1"/>
    <n v="16953"/>
    <n v="17732"/>
    <n v="303"/>
    <n v="36601"/>
  </r>
  <r>
    <x v="213"/>
    <x v="0"/>
    <n v="0"/>
    <n v="0"/>
    <n v="214"/>
    <n v="25"/>
    <n v="3234"/>
    <n v="318"/>
    <n v="0"/>
    <n v="2"/>
    <n v="0"/>
    <n v="394"/>
    <n v="44"/>
    <n v="1"/>
    <n v="37393"/>
    <n v="53090"/>
    <n v="199"/>
    <n v="94914"/>
  </r>
  <r>
    <x v="214"/>
    <x v="5"/>
    <n v="38"/>
    <n v="0"/>
    <n v="193"/>
    <n v="258"/>
    <n v="5765"/>
    <n v="596"/>
    <n v="0"/>
    <n v="65"/>
    <n v="0"/>
    <n v="0"/>
    <n v="10"/>
    <n v="1"/>
    <n v="57541"/>
    <n v="63222"/>
    <n v="863"/>
    <n v="128557"/>
  </r>
  <r>
    <x v="215"/>
    <x v="0"/>
    <n v="0"/>
    <n v="1"/>
    <n v="0"/>
    <n v="5"/>
    <n v="19"/>
    <n v="3"/>
    <n v="0"/>
    <n v="0"/>
    <n v="0"/>
    <n v="0"/>
    <n v="0"/>
    <n v="0"/>
    <n v="1"/>
    <n v="80"/>
    <n v="0"/>
    <n v="109"/>
  </r>
  <r>
    <x v="216"/>
    <x v="0"/>
    <n v="1"/>
    <n v="0"/>
    <n v="6"/>
    <n v="37"/>
    <n v="8"/>
    <n v="2"/>
    <n v="0"/>
    <n v="0"/>
    <n v="0"/>
    <n v="0"/>
    <n v="0"/>
    <n v="0"/>
    <n v="5"/>
    <n v="13"/>
    <n v="0"/>
    <n v="72"/>
  </r>
  <r>
    <x v="217"/>
    <x v="0"/>
    <n v="2"/>
    <n v="0"/>
    <n v="0"/>
    <n v="10"/>
    <n v="24"/>
    <n v="0"/>
    <n v="0"/>
    <n v="0"/>
    <n v="0"/>
    <n v="0"/>
    <n v="0"/>
    <n v="0"/>
    <n v="0"/>
    <n v="13"/>
    <n v="0"/>
    <n v="49"/>
  </r>
  <r>
    <x v="218"/>
    <x v="0"/>
    <n v="0"/>
    <n v="1"/>
    <n v="0"/>
    <n v="7"/>
    <n v="24"/>
    <n v="0"/>
    <n v="0"/>
    <n v="0"/>
    <n v="0"/>
    <n v="0"/>
    <n v="0"/>
    <n v="0"/>
    <n v="1"/>
    <n v="25"/>
    <n v="0"/>
    <n v="58"/>
  </r>
  <r>
    <x v="219"/>
    <x v="0"/>
    <n v="0"/>
    <n v="1"/>
    <n v="1"/>
    <n v="2"/>
    <n v="21"/>
    <n v="0"/>
    <n v="0"/>
    <n v="0"/>
    <n v="1"/>
    <n v="0"/>
    <n v="0"/>
    <n v="0"/>
    <n v="2"/>
    <n v="86"/>
    <n v="0"/>
    <n v="114"/>
  </r>
  <r>
    <x v="220"/>
    <x v="0"/>
    <n v="0"/>
    <n v="1"/>
    <n v="0"/>
    <n v="5"/>
    <n v="19"/>
    <n v="3"/>
    <n v="0"/>
    <n v="0"/>
    <n v="0"/>
    <n v="0"/>
    <n v="0"/>
    <n v="0"/>
    <n v="1"/>
    <n v="80"/>
    <n v="0"/>
    <n v="109"/>
  </r>
  <r>
    <x v="221"/>
    <x v="0"/>
    <n v="0"/>
    <n v="2"/>
    <n v="0"/>
    <n v="2"/>
    <n v="37"/>
    <n v="2"/>
    <n v="0"/>
    <n v="0"/>
    <n v="0"/>
    <n v="0"/>
    <n v="0"/>
    <n v="0"/>
    <n v="9"/>
    <n v="276"/>
    <n v="0"/>
    <n v="328"/>
  </r>
  <r>
    <x v="222"/>
    <x v="0"/>
    <n v="0"/>
    <n v="0"/>
    <n v="0"/>
    <n v="3"/>
    <n v="45"/>
    <n v="0"/>
    <n v="0"/>
    <n v="0"/>
    <n v="0"/>
    <n v="0"/>
    <n v="0"/>
    <n v="0"/>
    <n v="2"/>
    <n v="1170"/>
    <n v="0"/>
    <n v="1220"/>
  </r>
  <r>
    <x v="223"/>
    <x v="0"/>
    <n v="0"/>
    <n v="0"/>
    <n v="0"/>
    <n v="3"/>
    <n v="34"/>
    <n v="0"/>
    <n v="0"/>
    <n v="0"/>
    <n v="0"/>
    <n v="0"/>
    <n v="0"/>
    <n v="0"/>
    <n v="2"/>
    <n v="571"/>
    <n v="0"/>
    <n v="610"/>
  </r>
  <r>
    <x v="224"/>
    <x v="0"/>
    <n v="2"/>
    <n v="1"/>
    <n v="0"/>
    <n v="6"/>
    <n v="33"/>
    <n v="1"/>
    <n v="0"/>
    <n v="0"/>
    <n v="0"/>
    <n v="1"/>
    <n v="0"/>
    <n v="0"/>
    <n v="1"/>
    <n v="293"/>
    <n v="1"/>
    <n v="339"/>
  </r>
  <r>
    <x v="225"/>
    <x v="0"/>
    <n v="2"/>
    <n v="1"/>
    <n v="0"/>
    <n v="4"/>
    <n v="47"/>
    <n v="0"/>
    <n v="0"/>
    <n v="0"/>
    <n v="0"/>
    <n v="2"/>
    <n v="1"/>
    <n v="0"/>
    <n v="1"/>
    <n v="572"/>
    <n v="0"/>
    <n v="630"/>
  </r>
  <r>
    <x v="226"/>
    <x v="0"/>
    <n v="0"/>
    <n v="0"/>
    <n v="0"/>
    <n v="14"/>
    <n v="22"/>
    <n v="0"/>
    <n v="0"/>
    <n v="0"/>
    <n v="0"/>
    <n v="1"/>
    <n v="0"/>
    <n v="0"/>
    <n v="3"/>
    <n v="203"/>
    <n v="0"/>
    <n v="243"/>
  </r>
  <r>
    <x v="227"/>
    <x v="0"/>
    <n v="0"/>
    <n v="0"/>
    <n v="0"/>
    <n v="9"/>
    <n v="53"/>
    <n v="7"/>
    <n v="0"/>
    <n v="0"/>
    <n v="0"/>
    <n v="0"/>
    <n v="0"/>
    <n v="0"/>
    <n v="2"/>
    <n v="176"/>
    <n v="0"/>
    <n v="247"/>
  </r>
  <r>
    <x v="228"/>
    <x v="0"/>
    <n v="0"/>
    <n v="0"/>
    <n v="0"/>
    <n v="1"/>
    <n v="63"/>
    <n v="0"/>
    <n v="0"/>
    <n v="0"/>
    <n v="0"/>
    <n v="0"/>
    <n v="0"/>
    <n v="0"/>
    <n v="0"/>
    <n v="123"/>
    <n v="0"/>
    <n v="187"/>
  </r>
  <r>
    <x v="229"/>
    <x v="0"/>
    <n v="1"/>
    <n v="0"/>
    <n v="0"/>
    <n v="5"/>
    <n v="57"/>
    <n v="9"/>
    <n v="0"/>
    <n v="0"/>
    <n v="0"/>
    <n v="13"/>
    <n v="0"/>
    <n v="0"/>
    <n v="849"/>
    <n v="138"/>
    <n v="0"/>
    <n v="1072"/>
  </r>
  <r>
    <x v="230"/>
    <x v="0"/>
    <n v="1"/>
    <n v="3"/>
    <n v="1"/>
    <n v="21"/>
    <n v="79"/>
    <n v="1"/>
    <n v="0"/>
    <n v="0"/>
    <n v="0"/>
    <n v="23"/>
    <n v="0"/>
    <n v="0"/>
    <n v="6063"/>
    <n v="142"/>
    <n v="0"/>
    <n v="6334"/>
  </r>
  <r>
    <x v="231"/>
    <x v="0"/>
    <n v="0"/>
    <n v="0"/>
    <n v="0"/>
    <n v="80"/>
    <n v="104"/>
    <n v="29"/>
    <n v="0"/>
    <n v="0"/>
    <n v="0"/>
    <n v="36"/>
    <n v="3"/>
    <n v="0"/>
    <n v="7248"/>
    <n v="160"/>
    <n v="0"/>
    <n v="7660"/>
  </r>
  <r>
    <x v="232"/>
    <x v="0"/>
    <n v="0"/>
    <n v="0"/>
    <n v="1"/>
    <n v="15"/>
    <n v="56"/>
    <n v="19"/>
    <n v="0"/>
    <n v="0"/>
    <n v="0"/>
    <n v="32"/>
    <n v="2"/>
    <n v="3"/>
    <n v="12300"/>
    <n v="2560"/>
    <n v="2"/>
    <n v="14990"/>
  </r>
  <r>
    <x v="233"/>
    <x v="0"/>
    <n v="0"/>
    <n v="0"/>
    <n v="42"/>
    <n v="1"/>
    <n v="82"/>
    <n v="112"/>
    <n v="0"/>
    <n v="40"/>
    <n v="0"/>
    <n v="44"/>
    <n v="9"/>
    <n v="0"/>
    <n v="13252"/>
    <n v="2082"/>
    <n v="55"/>
    <n v="15719"/>
  </r>
  <r>
    <x v="234"/>
    <x v="0"/>
    <n v="0"/>
    <n v="0"/>
    <n v="8"/>
    <n v="1"/>
    <n v="459"/>
    <n v="8"/>
    <n v="0"/>
    <n v="0"/>
    <n v="0"/>
    <n v="79"/>
    <n v="18"/>
    <n v="0"/>
    <n v="7930"/>
    <n v="2537"/>
    <n v="420"/>
    <n v="11460"/>
  </r>
  <r>
    <x v="235"/>
    <x v="0"/>
    <n v="0"/>
    <n v="0"/>
    <n v="83"/>
    <n v="24"/>
    <n v="1259"/>
    <n v="122"/>
    <n v="0"/>
    <n v="1"/>
    <n v="0"/>
    <n v="127"/>
    <n v="28"/>
    <n v="0"/>
    <n v="18495"/>
    <n v="20558"/>
    <n v="264"/>
    <n v="40961"/>
  </r>
  <r>
    <x v="236"/>
    <x v="7"/>
    <n v="0"/>
    <n v="0"/>
    <n v="245"/>
    <n v="22"/>
    <n v="3309"/>
    <n v="607"/>
    <n v="0"/>
    <n v="0"/>
    <n v="0"/>
    <n v="109"/>
    <n v="43"/>
    <n v="2"/>
    <n v="35889"/>
    <n v="76759"/>
    <n v="510"/>
    <n v="117497"/>
  </r>
  <r>
    <x v="237"/>
    <x v="8"/>
    <n v="2"/>
    <n v="0"/>
    <n v="203"/>
    <n v="340"/>
    <n v="6445"/>
    <n v="1159"/>
    <n v="0"/>
    <n v="36"/>
    <n v="2"/>
    <n v="0"/>
    <n v="19"/>
    <n v="9"/>
    <n v="56988"/>
    <n v="75094"/>
    <n v="67"/>
    <n v="140368"/>
  </r>
  <r>
    <x v="238"/>
    <x v="0"/>
    <n v="1"/>
    <n v="6"/>
    <n v="0"/>
    <n v="6"/>
    <n v="27"/>
    <n v="1"/>
    <n v="1"/>
    <n v="0"/>
    <n v="0"/>
    <n v="0"/>
    <n v="1"/>
    <n v="0"/>
    <n v="2"/>
    <n v="96"/>
    <n v="0"/>
    <n v="141"/>
  </r>
  <r>
    <x v="239"/>
    <x v="0"/>
    <n v="0"/>
    <n v="2"/>
    <n v="0"/>
    <n v="44"/>
    <n v="16"/>
    <n v="1"/>
    <n v="0"/>
    <n v="0"/>
    <n v="0"/>
    <n v="0"/>
    <n v="0"/>
    <n v="0"/>
    <n v="4"/>
    <n v="12"/>
    <n v="0"/>
    <n v="79"/>
  </r>
  <r>
    <x v="240"/>
    <x v="0"/>
    <n v="0"/>
    <n v="0"/>
    <n v="1"/>
    <n v="8"/>
    <n v="15"/>
    <n v="0"/>
    <n v="0"/>
    <n v="1"/>
    <n v="0"/>
    <n v="0"/>
    <n v="4"/>
    <n v="0"/>
    <n v="0"/>
    <n v="6"/>
    <n v="0"/>
    <n v="35"/>
  </r>
  <r>
    <x v="241"/>
    <x v="0"/>
    <n v="0"/>
    <n v="0"/>
    <n v="0"/>
    <n v="6"/>
    <n v="29"/>
    <n v="0"/>
    <n v="0"/>
    <n v="0"/>
    <n v="0"/>
    <n v="0"/>
    <n v="0"/>
    <n v="0"/>
    <n v="5"/>
    <n v="16"/>
    <n v="0"/>
    <n v="56"/>
  </r>
  <r>
    <x v="242"/>
    <x v="0"/>
    <n v="2"/>
    <n v="1"/>
    <n v="0"/>
    <n v="6"/>
    <n v="21"/>
    <n v="0"/>
    <n v="1"/>
    <n v="5"/>
    <n v="0"/>
    <n v="0"/>
    <n v="1"/>
    <n v="0"/>
    <n v="1"/>
    <n v="49"/>
    <n v="0"/>
    <n v="87"/>
  </r>
  <r>
    <x v="243"/>
    <x v="0"/>
    <n v="1"/>
    <n v="6"/>
    <n v="0"/>
    <n v="6"/>
    <n v="27"/>
    <n v="1"/>
    <n v="1"/>
    <n v="0"/>
    <n v="0"/>
    <n v="0"/>
    <n v="1"/>
    <n v="0"/>
    <n v="2"/>
    <n v="96"/>
    <n v="0"/>
    <n v="141"/>
  </r>
  <r>
    <x v="244"/>
    <x v="0"/>
    <n v="0"/>
    <n v="0"/>
    <n v="0"/>
    <n v="3"/>
    <n v="37"/>
    <n v="0"/>
    <n v="0"/>
    <n v="0"/>
    <n v="0"/>
    <n v="0"/>
    <n v="0"/>
    <n v="0"/>
    <n v="4"/>
    <n v="521"/>
    <n v="0"/>
    <n v="565"/>
  </r>
  <r>
    <x v="245"/>
    <x v="0"/>
    <n v="0"/>
    <n v="0"/>
    <n v="0"/>
    <n v="0"/>
    <n v="44"/>
    <n v="0"/>
    <n v="0"/>
    <n v="0"/>
    <n v="0"/>
    <n v="2"/>
    <n v="1"/>
    <n v="0"/>
    <n v="3"/>
    <n v="1254"/>
    <n v="0"/>
    <n v="1304"/>
  </r>
  <r>
    <x v="246"/>
    <x v="0"/>
    <n v="1"/>
    <n v="1"/>
    <n v="0"/>
    <n v="2"/>
    <n v="37"/>
    <n v="2"/>
    <n v="0"/>
    <n v="0"/>
    <n v="1"/>
    <n v="1"/>
    <n v="0"/>
    <n v="0"/>
    <n v="2"/>
    <n v="440"/>
    <n v="1"/>
    <n v="488"/>
  </r>
  <r>
    <x v="247"/>
    <x v="0"/>
    <n v="1"/>
    <n v="1"/>
    <n v="1"/>
    <n v="9"/>
    <n v="31"/>
    <n v="0"/>
    <n v="0"/>
    <n v="0"/>
    <n v="0"/>
    <n v="2"/>
    <n v="0"/>
    <n v="0"/>
    <n v="3"/>
    <n v="367"/>
    <n v="0"/>
    <n v="415"/>
  </r>
  <r>
    <x v="248"/>
    <x v="0"/>
    <n v="1"/>
    <n v="1"/>
    <n v="0"/>
    <n v="5"/>
    <n v="63"/>
    <n v="4"/>
    <n v="0"/>
    <n v="0"/>
    <n v="0"/>
    <n v="0"/>
    <n v="1"/>
    <n v="0"/>
    <n v="4"/>
    <n v="745"/>
    <n v="0"/>
    <n v="824"/>
  </r>
  <r>
    <x v="249"/>
    <x v="0"/>
    <n v="1"/>
    <n v="2"/>
    <n v="0"/>
    <n v="5"/>
    <n v="22"/>
    <n v="2"/>
    <n v="0"/>
    <n v="0"/>
    <n v="0"/>
    <n v="2"/>
    <n v="0"/>
    <n v="0"/>
    <n v="2"/>
    <n v="319"/>
    <n v="0"/>
    <n v="355"/>
  </r>
  <r>
    <x v="250"/>
    <x v="0"/>
    <n v="0"/>
    <n v="0"/>
    <n v="0"/>
    <n v="6"/>
    <n v="32"/>
    <n v="0"/>
    <n v="1"/>
    <n v="0"/>
    <n v="0"/>
    <n v="3"/>
    <n v="0"/>
    <n v="0"/>
    <n v="0"/>
    <n v="228"/>
    <n v="0"/>
    <n v="270"/>
  </r>
  <r>
    <x v="251"/>
    <x v="0"/>
    <n v="1"/>
    <n v="0"/>
    <n v="0"/>
    <n v="1"/>
    <n v="58"/>
    <n v="1"/>
    <n v="1"/>
    <n v="0"/>
    <n v="0"/>
    <n v="1"/>
    <n v="0"/>
    <n v="0"/>
    <n v="1"/>
    <n v="146"/>
    <n v="0"/>
    <n v="210"/>
  </r>
  <r>
    <x v="252"/>
    <x v="0"/>
    <n v="0"/>
    <n v="0"/>
    <n v="0"/>
    <n v="4"/>
    <n v="55"/>
    <n v="1"/>
    <n v="0"/>
    <n v="0"/>
    <n v="1"/>
    <n v="5"/>
    <n v="0"/>
    <n v="1"/>
    <n v="1071"/>
    <n v="111"/>
    <n v="0"/>
    <n v="1249"/>
  </r>
  <r>
    <x v="253"/>
    <x v="0"/>
    <n v="0"/>
    <n v="2"/>
    <n v="0"/>
    <n v="12"/>
    <n v="77"/>
    <n v="31"/>
    <n v="0"/>
    <n v="0"/>
    <n v="0"/>
    <n v="18"/>
    <n v="2"/>
    <n v="0"/>
    <n v="4644"/>
    <n v="112"/>
    <n v="0"/>
    <n v="4898"/>
  </r>
  <r>
    <x v="254"/>
    <x v="0"/>
    <n v="0"/>
    <n v="0"/>
    <n v="8"/>
    <n v="88"/>
    <n v="63"/>
    <n v="33"/>
    <n v="0"/>
    <n v="3"/>
    <n v="0"/>
    <n v="79"/>
    <n v="4"/>
    <n v="0"/>
    <n v="9592"/>
    <n v="214"/>
    <n v="0"/>
    <n v="10084"/>
  </r>
  <r>
    <x v="255"/>
    <x v="0"/>
    <n v="0"/>
    <n v="0"/>
    <n v="7"/>
    <n v="15"/>
    <n v="106"/>
    <n v="73"/>
    <n v="0"/>
    <n v="0"/>
    <n v="0"/>
    <n v="19"/>
    <n v="3"/>
    <n v="0"/>
    <n v="10513"/>
    <n v="3269"/>
    <n v="107"/>
    <n v="14112"/>
  </r>
  <r>
    <x v="256"/>
    <x v="0"/>
    <n v="0"/>
    <n v="0"/>
    <n v="49"/>
    <n v="2"/>
    <n v="85"/>
    <n v="135"/>
    <n v="0"/>
    <n v="1"/>
    <n v="0"/>
    <n v="46"/>
    <n v="11"/>
    <n v="0"/>
    <n v="15531"/>
    <n v="3136"/>
    <n v="12"/>
    <n v="19008"/>
  </r>
  <r>
    <x v="257"/>
    <x v="0"/>
    <n v="0"/>
    <n v="0"/>
    <n v="8"/>
    <n v="1"/>
    <n v="537"/>
    <n v="32"/>
    <n v="0"/>
    <n v="26"/>
    <n v="0"/>
    <n v="54"/>
    <n v="11"/>
    <n v="0"/>
    <n v="8526"/>
    <n v="3888"/>
    <n v="301"/>
    <n v="13384"/>
  </r>
  <r>
    <x v="258"/>
    <x v="0"/>
    <n v="0"/>
    <n v="2"/>
    <n v="34"/>
    <n v="16"/>
    <n v="1599"/>
    <n v="27"/>
    <n v="0"/>
    <n v="0"/>
    <n v="0"/>
    <n v="131"/>
    <n v="19"/>
    <n v="2"/>
    <n v="18712"/>
    <n v="24398"/>
    <n v="154"/>
    <n v="45094"/>
  </r>
  <r>
    <x v="259"/>
    <x v="1"/>
    <n v="0"/>
    <n v="0"/>
    <n v="117"/>
    <n v="35"/>
    <n v="3556"/>
    <n v="424"/>
    <n v="0"/>
    <n v="0"/>
    <n v="0"/>
    <n v="191"/>
    <n v="51"/>
    <n v="2"/>
    <n v="40426"/>
    <n v="76762"/>
    <n v="31"/>
    <n v="121596"/>
  </r>
  <r>
    <x v="260"/>
    <x v="5"/>
    <n v="15"/>
    <n v="1"/>
    <n v="228"/>
    <n v="277"/>
    <n v="7129"/>
    <n v="410"/>
    <n v="0"/>
    <n v="40"/>
    <n v="3"/>
    <n v="0"/>
    <n v="8"/>
    <n v="11"/>
    <n v="53907"/>
    <n v="91972"/>
    <n v="137"/>
    <n v="154143"/>
  </r>
  <r>
    <x v="261"/>
    <x v="0"/>
    <n v="0"/>
    <n v="3"/>
    <n v="0"/>
    <n v="9"/>
    <n v="13"/>
    <n v="1"/>
    <n v="0"/>
    <n v="0"/>
    <n v="0"/>
    <n v="0"/>
    <n v="0"/>
    <n v="0"/>
    <n v="0"/>
    <n v="81"/>
    <n v="0"/>
    <n v="107"/>
  </r>
  <r>
    <x v="262"/>
    <x v="0"/>
    <n v="0"/>
    <n v="0"/>
    <n v="0"/>
    <n v="42"/>
    <n v="15"/>
    <n v="0"/>
    <n v="0"/>
    <n v="0"/>
    <n v="0"/>
    <n v="0"/>
    <n v="0"/>
    <n v="0"/>
    <n v="4"/>
    <n v="7"/>
    <n v="0"/>
    <n v="68"/>
  </r>
  <r>
    <x v="263"/>
    <x v="0"/>
    <n v="1"/>
    <n v="0"/>
    <n v="0"/>
    <n v="3"/>
    <n v="13"/>
    <n v="2"/>
    <n v="0"/>
    <n v="3"/>
    <n v="0"/>
    <n v="0"/>
    <n v="0"/>
    <n v="0"/>
    <n v="3"/>
    <n v="9"/>
    <n v="0"/>
    <n v="34"/>
  </r>
  <r>
    <x v="264"/>
    <x v="0"/>
    <n v="0"/>
    <n v="0"/>
    <n v="0"/>
    <n v="10"/>
    <n v="23"/>
    <n v="3"/>
    <n v="0"/>
    <n v="0"/>
    <n v="0"/>
    <n v="1"/>
    <n v="0"/>
    <n v="0"/>
    <n v="5"/>
    <n v="19"/>
    <n v="0"/>
    <n v="61"/>
  </r>
  <r>
    <x v="265"/>
    <x v="0"/>
    <n v="0"/>
    <n v="0"/>
    <n v="0"/>
    <n v="4"/>
    <n v="22"/>
    <n v="0"/>
    <n v="0"/>
    <n v="0"/>
    <n v="0"/>
    <n v="1"/>
    <n v="1"/>
    <n v="0"/>
    <n v="0"/>
    <n v="44"/>
    <n v="0"/>
    <n v="72"/>
  </r>
  <r>
    <x v="266"/>
    <x v="0"/>
    <n v="0"/>
    <n v="3"/>
    <n v="0"/>
    <n v="9"/>
    <n v="13"/>
    <n v="1"/>
    <n v="0"/>
    <n v="0"/>
    <n v="0"/>
    <n v="0"/>
    <n v="0"/>
    <n v="0"/>
    <n v="0"/>
    <n v="81"/>
    <n v="0"/>
    <n v="107"/>
  </r>
  <r>
    <x v="267"/>
    <x v="0"/>
    <n v="0"/>
    <n v="2"/>
    <n v="0"/>
    <n v="3"/>
    <n v="49"/>
    <n v="0"/>
    <n v="0"/>
    <n v="0"/>
    <n v="0"/>
    <n v="0"/>
    <n v="0"/>
    <n v="0"/>
    <n v="1"/>
    <n v="510"/>
    <n v="0"/>
    <n v="565"/>
  </r>
  <r>
    <x v="268"/>
    <x v="0"/>
    <n v="0"/>
    <n v="0"/>
    <n v="0"/>
    <n v="3"/>
    <n v="48"/>
    <n v="0"/>
    <n v="0"/>
    <n v="0"/>
    <n v="1"/>
    <n v="0"/>
    <n v="0"/>
    <n v="0"/>
    <n v="1"/>
    <n v="940"/>
    <n v="0"/>
    <n v="993"/>
  </r>
  <r>
    <x v="269"/>
    <x v="0"/>
    <n v="0"/>
    <n v="0"/>
    <n v="0"/>
    <n v="2"/>
    <n v="22"/>
    <n v="2"/>
    <n v="0"/>
    <n v="0"/>
    <n v="0"/>
    <n v="2"/>
    <n v="0"/>
    <n v="0"/>
    <n v="7"/>
    <n v="370"/>
    <n v="0"/>
    <n v="405"/>
  </r>
  <r>
    <x v="270"/>
    <x v="0"/>
    <n v="1"/>
    <n v="1"/>
    <n v="0"/>
    <n v="26"/>
    <n v="62"/>
    <n v="2"/>
    <n v="0"/>
    <n v="0"/>
    <n v="0"/>
    <n v="0"/>
    <n v="0"/>
    <n v="0"/>
    <n v="0"/>
    <n v="306"/>
    <n v="0"/>
    <n v="398"/>
  </r>
  <r>
    <x v="271"/>
    <x v="0"/>
    <n v="1"/>
    <n v="2"/>
    <n v="0"/>
    <n v="6"/>
    <n v="55"/>
    <n v="0"/>
    <n v="0"/>
    <n v="0"/>
    <n v="0"/>
    <n v="0"/>
    <n v="0"/>
    <n v="0"/>
    <n v="1"/>
    <n v="794"/>
    <n v="0"/>
    <n v="859"/>
  </r>
  <r>
    <x v="272"/>
    <x v="0"/>
    <n v="1"/>
    <n v="0"/>
    <n v="0"/>
    <n v="6"/>
    <n v="29"/>
    <n v="0"/>
    <n v="4"/>
    <n v="0"/>
    <n v="0"/>
    <n v="1"/>
    <n v="0"/>
    <n v="0"/>
    <n v="1"/>
    <n v="247"/>
    <n v="0"/>
    <n v="289"/>
  </r>
  <r>
    <x v="273"/>
    <x v="0"/>
    <n v="13"/>
    <n v="1"/>
    <n v="0"/>
    <n v="9"/>
    <n v="39"/>
    <n v="3"/>
    <n v="0"/>
    <n v="0"/>
    <n v="0"/>
    <n v="2"/>
    <n v="0"/>
    <n v="0"/>
    <n v="4"/>
    <n v="179"/>
    <n v="0"/>
    <n v="250"/>
  </r>
  <r>
    <x v="274"/>
    <x v="0"/>
    <n v="2"/>
    <n v="0"/>
    <n v="0"/>
    <n v="3"/>
    <n v="62"/>
    <n v="0"/>
    <n v="0"/>
    <n v="0"/>
    <n v="0"/>
    <n v="1"/>
    <n v="0"/>
    <n v="0"/>
    <n v="1"/>
    <n v="165"/>
    <n v="0"/>
    <n v="234"/>
  </r>
  <r>
    <x v="275"/>
    <x v="0"/>
    <n v="0"/>
    <n v="0"/>
    <n v="0"/>
    <n v="4"/>
    <n v="70"/>
    <n v="35"/>
    <n v="0"/>
    <n v="0"/>
    <n v="0"/>
    <n v="8"/>
    <n v="0"/>
    <n v="0"/>
    <n v="1926"/>
    <n v="138"/>
    <n v="0"/>
    <n v="2181"/>
  </r>
  <r>
    <x v="276"/>
    <x v="1"/>
    <n v="1"/>
    <n v="0"/>
    <n v="0"/>
    <n v="3"/>
    <n v="36"/>
    <n v="4"/>
    <n v="0"/>
    <n v="0"/>
    <n v="0"/>
    <n v="35"/>
    <n v="0"/>
    <n v="0"/>
    <n v="4289"/>
    <n v="136"/>
    <n v="0"/>
    <n v="4505"/>
  </r>
  <r>
    <x v="277"/>
    <x v="0"/>
    <n v="0"/>
    <n v="0"/>
    <n v="0"/>
    <n v="93"/>
    <n v="60"/>
    <n v="26"/>
    <n v="0"/>
    <n v="0"/>
    <n v="0"/>
    <n v="30"/>
    <n v="6"/>
    <n v="0"/>
    <n v="8712"/>
    <n v="186"/>
    <n v="3"/>
    <n v="9116"/>
  </r>
  <r>
    <x v="278"/>
    <x v="0"/>
    <n v="0"/>
    <n v="0"/>
    <n v="0"/>
    <n v="27"/>
    <n v="114"/>
    <n v="12"/>
    <n v="1"/>
    <n v="2"/>
    <n v="0"/>
    <n v="52"/>
    <n v="5"/>
    <n v="4"/>
    <n v="12494"/>
    <n v="3166"/>
    <n v="0"/>
    <n v="15877"/>
  </r>
  <r>
    <x v="279"/>
    <x v="0"/>
    <n v="0"/>
    <n v="0"/>
    <n v="41"/>
    <n v="18"/>
    <n v="57"/>
    <n v="49"/>
    <n v="0"/>
    <n v="10"/>
    <n v="0"/>
    <n v="197"/>
    <n v="15"/>
    <n v="1"/>
    <n v="14412"/>
    <n v="1900"/>
    <n v="333"/>
    <n v="17033"/>
  </r>
  <r>
    <x v="280"/>
    <x v="0"/>
    <n v="0"/>
    <n v="0"/>
    <n v="10"/>
    <n v="1"/>
    <n v="505"/>
    <n v="18"/>
    <n v="0"/>
    <n v="0"/>
    <n v="0"/>
    <n v="124"/>
    <n v="17"/>
    <n v="1"/>
    <n v="10230"/>
    <n v="4564"/>
    <n v="384"/>
    <n v="15854"/>
  </r>
  <r>
    <x v="281"/>
    <x v="7"/>
    <n v="0"/>
    <n v="1"/>
    <n v="218"/>
    <n v="16"/>
    <n v="2483"/>
    <n v="133"/>
    <n v="0"/>
    <n v="2"/>
    <n v="0"/>
    <n v="124"/>
    <n v="17"/>
    <n v="0"/>
    <n v="24115"/>
    <n v="26150"/>
    <n v="494"/>
    <n v="53755"/>
  </r>
  <r>
    <x v="282"/>
    <x v="0"/>
    <n v="0"/>
    <n v="0"/>
    <n v="146"/>
    <n v="30"/>
    <n v="2925"/>
    <n v="915"/>
    <n v="0"/>
    <n v="15"/>
    <n v="0"/>
    <n v="673"/>
    <n v="35"/>
    <n v="0"/>
    <n v="35604"/>
    <n v="64525"/>
    <n v="138"/>
    <n v="105006"/>
  </r>
  <r>
    <x v="283"/>
    <x v="3"/>
    <n v="16"/>
    <n v="0"/>
    <n v="491"/>
    <n v="254"/>
    <n v="7008"/>
    <n v="499"/>
    <n v="0"/>
    <n v="86"/>
    <n v="0"/>
    <n v="0"/>
    <n v="7"/>
    <n v="0"/>
    <n v="57647"/>
    <n v="75748"/>
    <n v="188"/>
    <n v="141947"/>
  </r>
</pivotCacheRecords>
</file>

<file path=xl/pivotCache/pivotCacheRecords3.xml><?xml version="1.0" encoding="utf-8"?>
<pivotCacheRecords xmlns="http://schemas.openxmlformats.org/spreadsheetml/2006/main" xmlns:r="http://schemas.openxmlformats.org/officeDocument/2006/relationships" count="16">
  <r>
    <x v="0"/>
    <n v="21346"/>
  </r>
  <r>
    <x v="1"/>
    <n v="5870865"/>
  </r>
  <r>
    <x v="2"/>
    <n v="102965"/>
  </r>
  <r>
    <x v="3"/>
    <n v="828189"/>
  </r>
  <r>
    <x v="4"/>
    <n v="10249591"/>
  </r>
  <r>
    <x v="5"/>
    <n v="65061773"/>
  </r>
  <r>
    <x v="6"/>
    <n v="4343410"/>
  </r>
  <r>
    <x v="7"/>
    <n v="875789"/>
  </r>
  <r>
    <x v="8"/>
    <n v="194600"/>
  </r>
  <r>
    <x v="9"/>
    <n v="325015"/>
  </r>
  <r>
    <x v="10"/>
    <n v="1126398"/>
  </r>
  <r>
    <x v="11"/>
    <n v="679804"/>
  </r>
  <r>
    <x v="12"/>
    <n v="10708473"/>
  </r>
  <r>
    <x v="13"/>
    <n v="110788"/>
  </r>
  <r>
    <x v="14"/>
    <n v="274971646"/>
  </r>
  <r>
    <x v="15"/>
    <n v="1291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3" applyNumberFormats="0" applyBorderFormats="0" applyFontFormats="0" applyPatternFormats="0" applyAlignmentFormats="0" applyWidthHeightFormats="1" dataCaption="Values" tag="4815d2cf-fad3-4e59-9a2e-3b8512d27d66" updatedVersion="5" minRefreshableVersion="3" useAutoFormatting="1" itemPrintTitles="1" createdVersion="5" indent="0" outline="1" outlineData="1" multipleFieldFilters="0" chartFormat="12">
  <location ref="A92:B106" firstHeaderRow="1" firstDataRow="1" firstDataCol="1"/>
  <pivotFields count="2">
    <pivotField dataField="1" showAll="0"/>
    <pivotField axis="axisRow" allDrilled="1" showAll="0" sortType="descending" defaultAttributeDrillState="1">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s>
  <rowFields count="1">
    <field x="1"/>
  </rowFields>
  <rowItems count="14">
    <i>
      <x v="6"/>
    </i>
    <i>
      <x v="9"/>
    </i>
    <i>
      <x v="4"/>
    </i>
    <i>
      <x v="3"/>
    </i>
    <i>
      <x v="2"/>
    </i>
    <i>
      <x v="8"/>
    </i>
    <i>
      <x v="1"/>
    </i>
    <i>
      <x v="10"/>
    </i>
    <i>
      <x v="12"/>
    </i>
    <i>
      <x v="11"/>
    </i>
    <i>
      <x v="7"/>
    </i>
    <i>
      <x v="5"/>
    </i>
    <i>
      <x/>
    </i>
    <i t="grand">
      <x/>
    </i>
  </rowItems>
  <colItems count="1">
    <i/>
  </colItems>
  <dataFields count="1">
    <dataField name="Count of EV Maker" fld="0" subtotal="count" baseField="0" baseItem="0"/>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Hierarchies count="1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1]"/>
        <x15:activeTabTopLevelEntity name="[Table13]"/>
      </x15:pivotTableUISettings>
    </ext>
  </extLst>
</pivotTableDefinition>
</file>

<file path=xl/pivotTables/pivotTable2.xml><?xml version="1.0" encoding="utf-8"?>
<pivotTableDefinition xmlns="http://schemas.openxmlformats.org/spreadsheetml/2006/main" name="PivotTable4" cacheId="4" applyNumberFormats="0" applyBorderFormats="0" applyFontFormats="0" applyPatternFormats="0" applyAlignmentFormats="0" applyWidthHeightFormats="1" dataCaption="Values" tag="afdbfbbe-dccd-455f-9232-135ca09ac771" updatedVersion="5" minRefreshableVersion="3" useAutoFormatting="1" subtotalHiddenItems="1" itemPrintTitles="1" createdVersion="5" indent="0" outline="1" outlineData="1" multipleFieldFilters="0" chartFormat="16">
  <location ref="B49:C84" firstHeaderRow="1" firstDataRow="1" firstDataCol="1"/>
  <pivotFields count="2">
    <pivotField dataField="1" showAll="0"/>
    <pivotField axis="axisRow" allDrilled="1" showAll="0" sortType="descending"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autoSortScope>
        <pivotArea dataOnly="0" outline="0" fieldPosition="0">
          <references count="1">
            <reference field="4294967294" count="1" selected="0">
              <x v="0"/>
            </reference>
          </references>
        </pivotArea>
      </autoSortScope>
    </pivotField>
  </pivotFields>
  <rowFields count="1">
    <field x="1"/>
  </rowFields>
  <rowItems count="35">
    <i>
      <x v="19"/>
    </i>
    <i>
      <x v="8"/>
    </i>
    <i>
      <x v="15"/>
    </i>
    <i>
      <x v="16"/>
    </i>
    <i>
      <x v="28"/>
    </i>
    <i>
      <x v="31"/>
    </i>
    <i>
      <x v="26"/>
    </i>
    <i>
      <x v="29"/>
    </i>
    <i>
      <x v="10"/>
    </i>
    <i>
      <x v="11"/>
    </i>
    <i>
      <x v="18"/>
    </i>
    <i>
      <x v="6"/>
    </i>
    <i>
      <x v="1"/>
    </i>
    <i>
      <x v="33"/>
    </i>
    <i>
      <x v="23"/>
    </i>
    <i>
      <x v="25"/>
    </i>
    <i>
      <x v="14"/>
    </i>
    <i>
      <x v="4"/>
    </i>
    <i>
      <x v="9"/>
    </i>
    <i>
      <x v="3"/>
    </i>
    <i>
      <x v="32"/>
    </i>
    <i>
      <x v="13"/>
    </i>
    <i>
      <x v="12"/>
    </i>
    <i>
      <x v="24"/>
    </i>
    <i>
      <x v="21"/>
    </i>
    <i>
      <x v="30"/>
    </i>
    <i>
      <x v="20"/>
    </i>
    <i>
      <x v="5"/>
    </i>
    <i>
      <x v="2"/>
    </i>
    <i>
      <x v="22"/>
    </i>
    <i>
      <x/>
    </i>
    <i>
      <x v="27"/>
    </i>
    <i>
      <x v="17"/>
    </i>
    <i>
      <x v="7"/>
    </i>
    <i t="grand">
      <x/>
    </i>
  </rowItems>
  <colItems count="1">
    <i/>
  </colItems>
  <dataFields count="1">
    <dataField name="Sum of No. of Operational PCS" fld="0" baseField="0" baseItem="0"/>
  </dataFields>
  <chartFormats count="1">
    <chartFormat chart="13" format="9" series="1">
      <pivotArea type="data" outline="0" fieldPosition="0">
        <references count="1">
          <reference field="4294967294" count="1" selected="0">
            <x v="0"/>
          </reference>
        </references>
      </pivotArea>
    </chartFormat>
  </chartFormats>
  <pivotHierarchies count="1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_EV_Market_Analysis (Recovered)1 (version 2).xlsb!Table11">
        <x15:activeTabTopLevelEntity name="[Table11]"/>
        <x15:activeTabTopLevelEntity name="[Table13]"/>
      </x15:pivotTableUISettings>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1">
  <location ref="A1:B6" firstHeaderRow="1" firstDataRow="1" firstDataCol="1"/>
  <pivotFields count="13">
    <pivotField axis="axisRow" showAll="0">
      <items count="5">
        <item x="1"/>
        <item x="0"/>
        <item x="2"/>
        <item x="3"/>
        <item t="default"/>
      </items>
    </pivotField>
    <pivotField showAll="0"/>
    <pivotField showAll="0">
      <items count="49">
        <item x="0"/>
        <item x="2"/>
        <item x="8"/>
        <item x="14"/>
        <item x="9"/>
        <item x="28"/>
        <item x="1"/>
        <item x="40"/>
        <item x="26"/>
        <item x="32"/>
        <item x="11"/>
        <item x="24"/>
        <item x="15"/>
        <item x="10"/>
        <item x="42"/>
        <item x="19"/>
        <item x="45"/>
        <item x="30"/>
        <item x="23"/>
        <item x="25"/>
        <item x="3"/>
        <item x="16"/>
        <item x="4"/>
        <item x="6"/>
        <item x="38"/>
        <item x="27"/>
        <item x="36"/>
        <item x="13"/>
        <item x="33"/>
        <item x="37"/>
        <item x="18"/>
        <item x="20"/>
        <item x="46"/>
        <item x="34"/>
        <item x="22"/>
        <item x="21"/>
        <item x="39"/>
        <item x="5"/>
        <item x="44"/>
        <item x="12"/>
        <item x="41"/>
        <item x="17"/>
        <item x="43"/>
        <item x="31"/>
        <item x="7"/>
        <item x="47"/>
        <item x="29"/>
        <item x="35"/>
        <item t="default"/>
      </items>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Total sales" fld="12" baseField="0" baseItem="0"/>
  </dataFields>
  <chartFormats count="10">
    <chartFormat chart="45" format="68" series="1">
      <pivotArea type="data" outline="0" fieldPosition="0">
        <references count="1">
          <reference field="4294967294" count="1" selected="0">
            <x v="0"/>
          </reference>
        </references>
      </pivotArea>
    </chartFormat>
    <chartFormat chart="50" format="10" series="1">
      <pivotArea type="data" outline="0" fieldPosition="0">
        <references count="1">
          <reference field="4294967294" count="1" selected="0">
            <x v="0"/>
          </reference>
        </references>
      </pivotArea>
    </chartFormat>
    <chartFormat chart="52" format="32"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69" format="3"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6" format="1" series="1">
      <pivotArea type="data" outline="0" fieldPosition="0">
        <references count="1">
          <reference field="4294967294" count="1" selected="0">
            <x v="0"/>
          </reference>
        </references>
      </pivotArea>
    </chartFormat>
    <chartFormat chart="10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0">
  <location ref="G9:H1206" firstHeaderRow="1" firstDataRow="1" firstDataCol="1"/>
  <pivotFields count="13">
    <pivotField showAll="0">
      <items count="5">
        <item x="1"/>
        <item x="0"/>
        <item x="2"/>
        <item x="3"/>
        <item t="default"/>
      </items>
    </pivotField>
    <pivotField axis="axisRow" showAll="0" sortType="descending">
      <items count="1197">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0"/>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t="default"/>
      </items>
    </pivotField>
    <pivotField showAll="0">
      <items count="49">
        <item x="0"/>
        <item x="2"/>
        <item x="8"/>
        <item x="14"/>
        <item x="9"/>
        <item x="28"/>
        <item x="1"/>
        <item x="40"/>
        <item x="26"/>
        <item x="32"/>
        <item x="11"/>
        <item x="24"/>
        <item x="15"/>
        <item x="10"/>
        <item x="42"/>
        <item x="19"/>
        <item x="45"/>
        <item x="30"/>
        <item x="23"/>
        <item x="25"/>
        <item x="3"/>
        <item x="16"/>
        <item x="4"/>
        <item x="6"/>
        <item x="38"/>
        <item x="27"/>
        <item x="36"/>
        <item x="13"/>
        <item x="33"/>
        <item x="37"/>
        <item x="18"/>
        <item x="20"/>
        <item x="46"/>
        <item x="34"/>
        <item x="22"/>
        <item x="21"/>
        <item x="39"/>
        <item x="5"/>
        <item x="44"/>
        <item x="12"/>
        <item x="41"/>
        <item x="17"/>
        <item x="43"/>
        <item x="31"/>
        <item x="7"/>
        <item x="47"/>
        <item x="29"/>
        <item x="35"/>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1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t="grand">
      <x/>
    </i>
  </rowItems>
  <colItems count="1">
    <i/>
  </colItems>
  <dataFields count="1">
    <dataField name="Sum of Total sales" fld="12" baseField="0" baseItem="0"/>
  </dataFields>
  <chartFormats count="7">
    <chartFormat chart="45" format="68" series="1">
      <pivotArea type="data" outline="0" fieldPosition="0">
        <references count="1">
          <reference field="4294967294" count="1" selected="0">
            <x v="0"/>
          </reference>
        </references>
      </pivotArea>
    </chartFormat>
    <chartFormat chart="50" format="10" series="1">
      <pivotArea type="data" outline="0" fieldPosition="0">
        <references count="1">
          <reference field="4294967294" count="1" selected="0">
            <x v="0"/>
          </reference>
        </references>
      </pivotArea>
    </chartFormat>
    <chartFormat chart="52" format="3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5:A26"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 Registratio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4">
  <location ref="C26:D37" firstHeaderRow="1" firstDataRow="1" firstDataCol="1"/>
  <pivotFields count="2">
    <pivotField axis="axisRow" showAll="0" measureFilter="1" sortType="descending">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dataField="1" numFmtId="3" showAll="0"/>
  </pivotFields>
  <rowFields count="1">
    <field x="0"/>
  </rowFields>
  <rowItems count="11">
    <i>
      <x v="14"/>
    </i>
    <i>
      <x v="5"/>
    </i>
    <i>
      <x v="12"/>
    </i>
    <i>
      <x v="4"/>
    </i>
    <i>
      <x v="1"/>
    </i>
    <i>
      <x v="6"/>
    </i>
    <i>
      <x v="10"/>
    </i>
    <i>
      <x v="7"/>
    </i>
    <i>
      <x v="3"/>
    </i>
    <i>
      <x v="11"/>
    </i>
    <i t="grand">
      <x/>
    </i>
  </rowItems>
  <colItems count="1">
    <i/>
  </colItems>
  <dataFields count="1">
    <dataField name="Sum of Total Registration" fld="1" baseField="0" baseItem="0"/>
  </dataFields>
  <chartFormats count="31">
    <chartFormat chart="48" format="35" series="1">
      <pivotArea type="data" outline="0" fieldPosition="0">
        <references count="1">
          <reference field="4294967294" count="1" selected="0">
            <x v="0"/>
          </reference>
        </references>
      </pivotArea>
    </chartFormat>
    <chartFormat chart="48" format="36">
      <pivotArea type="data" outline="0" fieldPosition="0">
        <references count="2">
          <reference field="4294967294" count="1" selected="0">
            <x v="0"/>
          </reference>
          <reference field="0" count="1" selected="0">
            <x v="0"/>
          </reference>
        </references>
      </pivotArea>
    </chartFormat>
    <chartFormat chart="48" format="37">
      <pivotArea type="data" outline="0" fieldPosition="0">
        <references count="2">
          <reference field="4294967294" count="1" selected="0">
            <x v="0"/>
          </reference>
          <reference field="0" count="1" selected="0">
            <x v="1"/>
          </reference>
        </references>
      </pivotArea>
    </chartFormat>
    <chartFormat chart="48" format="38">
      <pivotArea type="data" outline="0" fieldPosition="0">
        <references count="2">
          <reference field="4294967294" count="1" selected="0">
            <x v="0"/>
          </reference>
          <reference field="0" count="1" selected="0">
            <x v="2"/>
          </reference>
        </references>
      </pivotArea>
    </chartFormat>
    <chartFormat chart="48" format="39">
      <pivotArea type="data" outline="0" fieldPosition="0">
        <references count="2">
          <reference field="4294967294" count="1" selected="0">
            <x v="0"/>
          </reference>
          <reference field="0" count="1" selected="0">
            <x v="3"/>
          </reference>
        </references>
      </pivotArea>
    </chartFormat>
    <chartFormat chart="48" format="40">
      <pivotArea type="data" outline="0" fieldPosition="0">
        <references count="2">
          <reference field="4294967294" count="1" selected="0">
            <x v="0"/>
          </reference>
          <reference field="0" count="1" selected="0">
            <x v="4"/>
          </reference>
        </references>
      </pivotArea>
    </chartFormat>
    <chartFormat chart="48" format="41">
      <pivotArea type="data" outline="0" fieldPosition="0">
        <references count="2">
          <reference field="4294967294" count="1" selected="0">
            <x v="0"/>
          </reference>
          <reference field="0" count="1" selected="0">
            <x v="5"/>
          </reference>
        </references>
      </pivotArea>
    </chartFormat>
    <chartFormat chart="48" format="42">
      <pivotArea type="data" outline="0" fieldPosition="0">
        <references count="2">
          <reference field="4294967294" count="1" selected="0">
            <x v="0"/>
          </reference>
          <reference field="0" count="1" selected="0">
            <x v="6"/>
          </reference>
        </references>
      </pivotArea>
    </chartFormat>
    <chartFormat chart="48" format="43">
      <pivotArea type="data" outline="0" fieldPosition="0">
        <references count="2">
          <reference field="4294967294" count="1" selected="0">
            <x v="0"/>
          </reference>
          <reference field="0" count="1" selected="0">
            <x v="7"/>
          </reference>
        </references>
      </pivotArea>
    </chartFormat>
    <chartFormat chart="48" format="44">
      <pivotArea type="data" outline="0" fieldPosition="0">
        <references count="2">
          <reference field="4294967294" count="1" selected="0">
            <x v="0"/>
          </reference>
          <reference field="0" count="1" selected="0">
            <x v="8"/>
          </reference>
        </references>
      </pivotArea>
    </chartFormat>
    <chartFormat chart="48" format="45">
      <pivotArea type="data" outline="0" fieldPosition="0">
        <references count="2">
          <reference field="4294967294" count="1" selected="0">
            <x v="0"/>
          </reference>
          <reference field="0" count="1" selected="0">
            <x v="9"/>
          </reference>
        </references>
      </pivotArea>
    </chartFormat>
    <chartFormat chart="48" format="46">
      <pivotArea type="data" outline="0" fieldPosition="0">
        <references count="2">
          <reference field="4294967294" count="1" selected="0">
            <x v="0"/>
          </reference>
          <reference field="0" count="1" selected="0">
            <x v="10"/>
          </reference>
        </references>
      </pivotArea>
    </chartFormat>
    <chartFormat chart="48" format="47">
      <pivotArea type="data" outline="0" fieldPosition="0">
        <references count="2">
          <reference field="4294967294" count="1" selected="0">
            <x v="0"/>
          </reference>
          <reference field="0" count="1" selected="0">
            <x v="11"/>
          </reference>
        </references>
      </pivotArea>
    </chartFormat>
    <chartFormat chart="48" format="48">
      <pivotArea type="data" outline="0" fieldPosition="0">
        <references count="2">
          <reference field="4294967294" count="1" selected="0">
            <x v="0"/>
          </reference>
          <reference field="0" count="1" selected="0">
            <x v="12"/>
          </reference>
        </references>
      </pivotArea>
    </chartFormat>
    <chartFormat chart="48" format="49">
      <pivotArea type="data" outline="0" fieldPosition="0">
        <references count="2">
          <reference field="4294967294" count="1" selected="0">
            <x v="0"/>
          </reference>
          <reference field="0" count="1" selected="0">
            <x v="13"/>
          </reference>
        </references>
      </pivotArea>
    </chartFormat>
    <chartFormat chart="48" format="50">
      <pivotArea type="data" outline="0" fieldPosition="0">
        <references count="2">
          <reference field="4294967294" count="1" selected="0">
            <x v="0"/>
          </reference>
          <reference field="0" count="1" selected="0">
            <x v="14"/>
          </reference>
        </references>
      </pivotArea>
    </chartFormat>
    <chartFormat chart="48" format="51">
      <pivotArea type="data" outline="0" fieldPosition="0">
        <references count="2">
          <reference field="4294967294" count="1" selected="0">
            <x v="0"/>
          </reference>
          <reference field="0" count="1" selected="0">
            <x v="15"/>
          </reference>
        </references>
      </pivotArea>
    </chartFormat>
    <chartFormat chart="67"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4" format="5" series="1">
      <pivotArea type="data" outline="0" fieldPosition="0">
        <references count="1">
          <reference field="4294967294" count="1" selected="0">
            <x v="0"/>
          </reference>
        </references>
      </pivotArea>
    </chartFormat>
    <chartFormat chart="74" format="6">
      <pivotArea type="data" outline="0" fieldPosition="0">
        <references count="2">
          <reference field="4294967294" count="1" selected="0">
            <x v="0"/>
          </reference>
          <reference field="0" count="1" selected="0">
            <x v="14"/>
          </reference>
        </references>
      </pivotArea>
    </chartFormat>
    <chartFormat chart="74" format="7">
      <pivotArea type="data" outline="0" fieldPosition="0">
        <references count="2">
          <reference field="4294967294" count="1" selected="0">
            <x v="0"/>
          </reference>
          <reference field="0" count="1" selected="0">
            <x v="5"/>
          </reference>
        </references>
      </pivotArea>
    </chartFormat>
    <chartFormat chart="74" format="8">
      <pivotArea type="data" outline="0" fieldPosition="0">
        <references count="2">
          <reference field="4294967294" count="1" selected="0">
            <x v="0"/>
          </reference>
          <reference field="0" count="1" selected="0">
            <x v="12"/>
          </reference>
        </references>
      </pivotArea>
    </chartFormat>
    <chartFormat chart="74" format="9">
      <pivotArea type="data" outline="0" fieldPosition="0">
        <references count="2">
          <reference field="4294967294" count="1" selected="0">
            <x v="0"/>
          </reference>
          <reference field="0" count="1" selected="0">
            <x v="4"/>
          </reference>
        </references>
      </pivotArea>
    </chartFormat>
    <chartFormat chart="74" format="10">
      <pivotArea type="data" outline="0" fieldPosition="0">
        <references count="2">
          <reference field="4294967294" count="1" selected="0">
            <x v="0"/>
          </reference>
          <reference field="0" count="1" selected="0">
            <x v="1"/>
          </reference>
        </references>
      </pivotArea>
    </chartFormat>
    <chartFormat chart="74" format="11">
      <pivotArea type="data" outline="0" fieldPosition="0">
        <references count="2">
          <reference field="4294967294" count="1" selected="0">
            <x v="0"/>
          </reference>
          <reference field="0" count="1" selected="0">
            <x v="6"/>
          </reference>
        </references>
      </pivotArea>
    </chartFormat>
    <chartFormat chart="74" format="12">
      <pivotArea type="data" outline="0" fieldPosition="0">
        <references count="2">
          <reference field="4294967294" count="1" selected="0">
            <x v="0"/>
          </reference>
          <reference field="0" count="1" selected="0">
            <x v="10"/>
          </reference>
        </references>
      </pivotArea>
    </chartFormat>
    <chartFormat chart="74" format="13">
      <pivotArea type="data" outline="0" fieldPosition="0">
        <references count="2">
          <reference field="4294967294" count="1" selected="0">
            <x v="0"/>
          </reference>
          <reference field="0" count="1" selected="0">
            <x v="7"/>
          </reference>
        </references>
      </pivotArea>
    </chartFormat>
    <chartFormat chart="74" format="14">
      <pivotArea type="data" outline="0" fieldPosition="0">
        <references count="2">
          <reference field="4294967294" count="1" selected="0">
            <x v="0"/>
          </reference>
          <reference field="0" count="1" selected="0">
            <x v="3"/>
          </reference>
        </references>
      </pivotArea>
    </chartFormat>
    <chartFormat chart="74" format="15">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J1:K12" firstHeaderRow="1" firstDataRow="1" firstDataCol="1"/>
  <pivotFields count="13">
    <pivotField showAll="0">
      <items count="5">
        <item x="1"/>
        <item x="0"/>
        <item x="2"/>
        <item x="3"/>
        <item t="default"/>
      </items>
    </pivotField>
    <pivotField axis="axisRow" showAll="0" measureFilter="1" sortType="descending">
      <items count="1197">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0"/>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458"/>
    </i>
    <i>
      <x v="140"/>
    </i>
    <i>
      <x v="1096"/>
    </i>
    <i>
      <x v="785"/>
    </i>
    <i>
      <x v="1070"/>
    </i>
    <i>
      <x v="459"/>
    </i>
    <i>
      <x v="25"/>
    </i>
    <i>
      <x v="1133"/>
    </i>
    <i>
      <x v="327"/>
    </i>
    <i>
      <x v="556"/>
    </i>
    <i t="grand">
      <x/>
    </i>
  </rowItems>
  <colItems count="1">
    <i/>
  </colItems>
  <dataFields count="1">
    <dataField name="Sum of Total sales" fld="12" baseField="0" baseItem="0"/>
  </dataFields>
  <chartFormats count="13">
    <chartFormat chart="72" format="3" series="1">
      <pivotArea type="data" outline="0" fieldPosition="0">
        <references count="1">
          <reference field="4294967294" count="1" selected="0">
            <x v="0"/>
          </reference>
        </references>
      </pivotArea>
    </chartFormat>
    <chartFormat chart="75" format="1" series="1">
      <pivotArea type="data" outline="0" fieldPosition="0">
        <references count="1">
          <reference field="4294967294" count="1" selected="0">
            <x v="0"/>
          </reference>
        </references>
      </pivotArea>
    </chartFormat>
    <chartFormat chart="104" format="3" series="1">
      <pivotArea type="data" outline="0" fieldPosition="0">
        <references count="1">
          <reference field="4294967294" count="1" selected="0">
            <x v="0"/>
          </reference>
        </references>
      </pivotArea>
    </chartFormat>
    <chartFormat chart="104" format="3" series="1">
      <pivotArea type="data" outline="0" fieldPosition="0">
        <references count="1">
          <reference field="4294967294" count="1" selected="0">
            <x v="0"/>
          </reference>
        </references>
      </pivotArea>
    </chartFormat>
    <chartFormat chart="101" format="1" series="1">
      <pivotArea type="data" outline="0" fieldPosition="0">
        <references count="1">
          <reference field="4294967294" count="1" selected="0">
            <x v="0"/>
          </reference>
        </references>
      </pivotArea>
    </chartFormat>
    <chartFormat chart="104" format="3"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9" format="3" series="1">
      <pivotArea type="data" outline="0" fieldPosition="0">
        <references count="1">
          <reference field="4294967294" count="1" selected="0">
            <x v="0"/>
          </reference>
        </references>
      </pivotArea>
    </chartFormat>
    <chartFormat chart="165" format="3" series="1">
      <pivotArea type="data" outline="0" fieldPosition="0">
        <references count="1">
          <reference field="4294967294" count="1" selected="0">
            <x v="0"/>
          </reference>
        </references>
      </pivotArea>
    </chartFormat>
    <chartFormat chart="174" format="3" series="1">
      <pivotArea type="data" outline="0" fieldPosition="0">
        <references count="1">
          <reference field="4294967294" count="1" selected="0">
            <x v="0"/>
          </reference>
        </references>
      </pivotArea>
    </chartFormat>
    <chartFormat chart="17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0" cacheId="0" dataOnRows="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2">
  <location ref="D1:E11" firstHeaderRow="1" firstDataRow="1" firstDataCol="1"/>
  <pivotFields count="13">
    <pivotField showAll="0">
      <items count="5">
        <item x="1"/>
        <item x="0"/>
        <item x="2"/>
        <item x="3"/>
        <item t="default"/>
      </items>
    </pivotField>
    <pivotField showAll="0">
      <items count="119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0"/>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t="default"/>
      </items>
    </pivotField>
    <pivotField dataField="1" showAll="0">
      <items count="49">
        <item x="0"/>
        <item x="2"/>
        <item x="8"/>
        <item x="14"/>
        <item x="9"/>
        <item x="28"/>
        <item x="1"/>
        <item x="40"/>
        <item x="26"/>
        <item x="32"/>
        <item x="11"/>
        <item x="24"/>
        <item x="15"/>
        <item x="10"/>
        <item x="42"/>
        <item x="19"/>
        <item x="45"/>
        <item x="30"/>
        <item x="23"/>
        <item x="25"/>
        <item x="3"/>
        <item x="16"/>
        <item x="4"/>
        <item x="6"/>
        <item x="38"/>
        <item x="27"/>
        <item x="36"/>
        <item x="13"/>
        <item x="33"/>
        <item x="37"/>
        <item x="18"/>
        <item x="20"/>
        <item x="46"/>
        <item x="34"/>
        <item x="22"/>
        <item x="21"/>
        <item x="39"/>
        <item x="5"/>
        <item x="44"/>
        <item x="12"/>
        <item x="41"/>
        <item x="17"/>
        <item x="43"/>
        <item x="31"/>
        <item x="7"/>
        <item x="47"/>
        <item x="29"/>
        <item x="3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2"/>
  </rowFields>
  <rowItems count="10">
    <i>
      <x/>
    </i>
    <i i="1">
      <x v="1"/>
    </i>
    <i i="2">
      <x v="2"/>
    </i>
    <i i="3">
      <x v="3"/>
    </i>
    <i i="4">
      <x v="4"/>
    </i>
    <i i="5">
      <x v="5"/>
    </i>
    <i i="6">
      <x v="6"/>
    </i>
    <i i="7">
      <x v="7"/>
    </i>
    <i i="8">
      <x v="8"/>
    </i>
    <i i="9">
      <x v="9"/>
    </i>
  </rowItems>
  <colItems count="1">
    <i/>
  </colItems>
  <dataFields count="10">
    <dataField name="Sum of 2015" fld="2" baseField="0" baseItem="0"/>
    <dataField name="Sum of 2016" fld="3" baseField="0" baseItem="0"/>
    <dataField name="Sum of 2017" fld="4" baseField="0" baseItem="0"/>
    <dataField name="Sum of 2018" fld="5" baseField="0" baseItem="0"/>
    <dataField name="Sum of 2019" fld="6" baseField="0" baseItem="0"/>
    <dataField name="Sum of 2020" fld="7" baseField="0" baseItem="0"/>
    <dataField name="Sum of 2021" fld="8" baseField="0" baseItem="0"/>
    <dataField name="Sum of 2022" fld="9" baseField="0" baseItem="0"/>
    <dataField name="Sum of 2023" fld="10" baseField="0" baseItem="0"/>
    <dataField name="Sum of 2024" fld="11" baseField="0" baseItem="0"/>
  </dataFields>
  <chartFormats count="27">
    <chartFormat chart="67"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 chart="91" format="0" series="1">
      <pivotArea type="data" outline="0" fieldPosition="0">
        <references count="1">
          <reference field="4294967294" count="1" selected="0">
            <x v="0"/>
          </reference>
        </references>
      </pivotArea>
    </chartFormat>
    <chartFormat chart="93" format="2"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4" format="2" series="1">
      <pivotArea type="data" outline="0" fieldPosition="0">
        <references count="1">
          <reference field="4294967294" count="1" selected="0">
            <x v="0"/>
          </reference>
        </references>
      </pivotArea>
    </chartFormat>
    <chartFormat chart="113" format="0" series="1">
      <pivotArea type="data" outline="0" fieldPosition="0">
        <references count="1">
          <reference field="4294967294" count="1" selected="0">
            <x v="0"/>
          </reference>
        </references>
      </pivotArea>
    </chartFormat>
    <chartFormat chart="115" format="2" series="1">
      <pivotArea type="data" outline="0" fieldPosition="0">
        <references count="1">
          <reference field="4294967294" count="1" selected="0">
            <x v="0"/>
          </reference>
        </references>
      </pivotArea>
    </chartFormat>
    <chartFormat chart="128" format="0" series="1">
      <pivotArea type="data" outline="0" fieldPosition="0">
        <references count="1">
          <reference field="4294967294" count="1" selected="0">
            <x v="0"/>
          </reference>
        </references>
      </pivotArea>
    </chartFormat>
    <chartFormat chart="130" format="2" series="1">
      <pivotArea type="data" outline="0" fieldPosition="0">
        <references count="1">
          <reference field="4294967294" count="1" selected="0">
            <x v="0"/>
          </reference>
        </references>
      </pivotArea>
    </chartFormat>
    <chartFormat chart="141" format="0" series="1">
      <pivotArea type="data" outline="0" fieldPosition="0">
        <references count="1">
          <reference field="4294967294" count="1" selected="0">
            <x v="0"/>
          </reference>
        </references>
      </pivotArea>
    </chartFormat>
    <chartFormat chart="142" format="1" series="1">
      <pivotArea type="data" outline="0" fieldPosition="0">
        <references count="1">
          <reference field="4294967294" count="1" selected="0">
            <x v="0"/>
          </reference>
        </references>
      </pivotArea>
    </chartFormat>
    <chartFormat chart="143" format="2" series="1">
      <pivotArea type="data" outline="0" fieldPosition="0">
        <references count="1">
          <reference field="4294967294" count="1" selected="0">
            <x v="0"/>
          </reference>
        </references>
      </pivotArea>
    </chartFormat>
    <chartFormat chart="149" format="2" series="1">
      <pivotArea type="data" outline="0" fieldPosition="0">
        <references count="1">
          <reference field="4294967294" count="1" selected="0">
            <x v="0"/>
          </reference>
        </references>
      </pivotArea>
    </chartFormat>
    <chartFormat chart="151" format="0" series="1">
      <pivotArea type="data" outline="0" fieldPosition="0">
        <references count="1">
          <reference field="4294967294" count="1" selected="0">
            <x v="0"/>
          </reference>
        </references>
      </pivotArea>
    </chartFormat>
    <chartFormat chart="157" format="2" series="1">
      <pivotArea type="data" outline="0" fieldPosition="0">
        <references count="1">
          <reference field="4294967294" count="1" selected="0">
            <x v="0"/>
          </reference>
        </references>
      </pivotArea>
    </chartFormat>
    <chartFormat chart="165" format="2" series="1">
      <pivotArea type="data" outline="0" fieldPosition="0">
        <references count="1">
          <reference field="4294967294" count="1" selected="0">
            <x v="0"/>
          </reference>
        </references>
      </pivotArea>
    </chartFormat>
    <chartFormat chart="172" format="0" series="1">
      <pivotArea type="data" outline="0" fieldPosition="0">
        <references count="1">
          <reference field="4294967294" count="1" selected="0">
            <x v="0"/>
          </reference>
        </references>
      </pivotArea>
    </chartFormat>
    <chartFormat chart="174" format="2" series="1">
      <pivotArea type="data" outline="0" fieldPosition="0">
        <references count="1">
          <reference field="4294967294" count="1" selected="0">
            <x v="0"/>
          </reference>
        </references>
      </pivotArea>
    </chartFormat>
    <chartFormat chart="178" format="0" series="1">
      <pivotArea type="data" outline="0" fieldPosition="0">
        <references count="1">
          <reference field="4294967294" count="1" selected="0">
            <x v="0"/>
          </reference>
        </references>
      </pivotArea>
    </chartFormat>
    <chartFormat chart="179" format="1" series="1">
      <pivotArea type="data" outline="0" fieldPosition="0">
        <references count="1">
          <reference field="4294967294" count="1" selected="0">
            <x v="0"/>
          </reference>
        </references>
      </pivotArea>
    </chartFormat>
    <chartFormat chart="18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 sourceName="Cat">
  <pivotTables>
    <pivotTable tabId="7" name="PivotTable1"/>
    <pivotTable tabId="7" name="PivotTable19"/>
    <pivotTable tabId="7" name="PivotTable2"/>
    <pivotTable tabId="7" name="PivotTable20"/>
  </pivotTables>
  <data>
    <tabular pivotCacheId="2">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Table11].[State]">
  <pivotTables>
    <pivotTable tabId="7" name="PivotTable4"/>
  </pivotTables>
  <data>
    <olap pivotCacheId="3">
      <levels count="2">
        <level uniqueName="[Table11].[State].[(All)]" sourceCaption="(All)" count="0"/>
        <level uniqueName="[Table11].[State].[State]" sourceCaption="State" count="34">
          <ranges>
            <range startItem="0">
              <i n="[Table11].[State].&amp;[Andaman &amp; Nicobar]" c="Andaman &amp; Nicobar"/>
              <i n="[Table11].[State].&amp;[Andhra Pradesh]" c="Andhra Pradesh"/>
              <i n="[Table11].[State].&amp;[Arunachal Pradesh]" c="Arunachal Pradesh"/>
              <i n="[Table11].[State].&amp;[Assam]" c="Assam"/>
              <i n="[Table11].[State].&amp;[Bihar]" c="Bihar"/>
              <i n="[Table11].[State].&amp;[Chandigarh]" c="Chandigarh"/>
              <i n="[Table11].[State].&amp;[Chhattisgarh]" c="Chhattisgarh"/>
              <i n="[Table11].[State].&amp;[D&amp;D and DNH]" c="D&amp;D and DNH"/>
              <i n="[Table11].[State].&amp;[Delhi]" c="Delhi"/>
              <i n="[Table11].[State].&amp;[Goa]" c="Goa"/>
              <i n="[Table11].[State].&amp;[Gujarat]" c="Gujarat"/>
              <i n="[Table11].[State].&amp;[Haryana]" c="Haryana"/>
              <i n="[Table11].[State].&amp;[Himachal Pradesh]" c="Himachal Pradesh"/>
              <i n="[Table11].[State].&amp;[Jammu and Kashmir]" c="Jammu and Kashmir"/>
              <i n="[Table11].[State].&amp;[Jharkhand]" c="Jharkhand"/>
              <i n="[Table11].[State].&amp;[Karnataka]" c="Karnataka"/>
              <i n="[Table11].[State].&amp;[Kerala]" c="Kerala"/>
              <i n="[Table11].[State].&amp;[Lakshadweep]" c="Lakshadweep"/>
              <i n="[Table11].[State].&amp;[Madhya Pradesh]" c="Madhya Pradesh"/>
              <i n="[Table11].[State].&amp;[Maharashtra]" c="Maharashtra"/>
              <i n="[Table11].[State].&amp;[Manipur]" c="Manipur"/>
              <i n="[Table11].[State].&amp;[Meghalaya]" c="Meghalaya"/>
              <i n="[Table11].[State].&amp;[Nagaland]" c="Nagaland"/>
              <i n="[Table11].[State].&amp;[Odisha]" c="Odisha"/>
              <i n="[Table11].[State].&amp;[Pondicherry]" c="Pondicherry"/>
              <i n="[Table11].[State].&amp;[Punjab]" c="Punjab"/>
              <i n="[Table11].[State].&amp;[Rajasthan]" c="Rajasthan"/>
              <i n="[Table11].[State].&amp;[Sikkim]" c="Sikkim"/>
              <i n="[Table11].[State].&amp;[Tamil Nadu]" c="Tamil Nadu"/>
              <i n="[Table11].[State].&amp;[Telangana]" c="Telangana"/>
              <i n="[Table11].[State].&amp;[Tripura]" c="Tripura"/>
              <i n="[Table11].[State].&amp;[Uttar Pradesh]" c="Uttar Pradesh"/>
              <i n="[Table11].[State].&amp;[Uttarakhand]" c="Uttarakhand"/>
              <i n="[Table11].[State].&amp;[West Bengal]" c="West Bengal"/>
            </range>
          </ranges>
        </level>
      </levels>
      <selections count="1">
        <selection n="[Table11].[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 cache="Slicer_Cat" caption="Cat" style="SlicerStyleDark4" rowHeight="234950"/>
  <slicer name="State" cache="Slicer_State" caption="State" level="1" style="SlicerStyleDark4" rowHeight="234950"/>
</slicers>
</file>

<file path=xl/tables/table1.xml><?xml version="1.0" encoding="utf-8"?>
<table xmlns="http://schemas.openxmlformats.org/spreadsheetml/2006/main" id="9" name="Table9" displayName="Table9" ref="A1:M1388" totalsRowShown="0">
  <autoFilter ref="A1:M1388"/>
  <tableColumns count="13">
    <tableColumn id="1" name="Cat"/>
    <tableColumn id="2" name="Maker"/>
    <tableColumn id="3" name="2015"/>
    <tableColumn id="4" name="2016"/>
    <tableColumn id="5" name="2017"/>
    <tableColumn id="6" name="2018"/>
    <tableColumn id="7" name="2019"/>
    <tableColumn id="8" name="2020"/>
    <tableColumn id="9" name="2021"/>
    <tableColumn id="10" name="2022"/>
    <tableColumn id="11" name="2023"/>
    <tableColumn id="12" name="2024"/>
    <tableColumn id="13" name="Total sales" dataDxfId="3"/>
  </tableColumns>
  <tableStyleInfo name="TableStyleMedium2" showFirstColumn="0" showLastColumn="0" showRowStripes="1" showColumnStripes="0"/>
</table>
</file>

<file path=xl/tables/table2.xml><?xml version="1.0" encoding="utf-8"?>
<table xmlns="http://schemas.openxmlformats.org/spreadsheetml/2006/main" id="10" name="Table10" displayName="Table10" ref="A1:R285" totalsRowShown="0">
  <autoFilter ref="A1:R285"/>
  <tableColumns count="18">
    <tableColumn id="1" name="Date" dataDxfId="2"/>
    <tableColumn id="2" name="FOUR WHEELER (INVALID CARRIAGE)"/>
    <tableColumn id="3" name="HEAVY GOODS VEHICLE"/>
    <tableColumn id="4" name="HEAVY MOTOR VEHICLE"/>
    <tableColumn id="5" name="HEAVY PASSENGER VEHICLE"/>
    <tableColumn id="6" name="LIGHT GOODS VEHICLE"/>
    <tableColumn id="7" name="LIGHT MOTOR VEHICLE"/>
    <tableColumn id="8" name="LIGHT PASSENGER VEHICLE"/>
    <tableColumn id="9" name="MEDIUM GOODS VEHICLE"/>
    <tableColumn id="10" name="MEDIUM PASSENGER VEHICLE"/>
    <tableColumn id="11" name="MEDIUM MOTOR VEHICLE"/>
    <tableColumn id="12" name="OTHER THAN MENTIONED ABOVE"/>
    <tableColumn id="13" name="THREE WHEELER(NT)"/>
    <tableColumn id="14" name="TWO WHEELER (INVALID CARRIAGE)"/>
    <tableColumn id="15" name="THREE WHEELER(T)"/>
    <tableColumn id="16" name="TWO WHEELER(NT)"/>
    <tableColumn id="17" name="TWO WHEELER(T)"/>
    <tableColumn id="18" name="Total Registration" dataDxfId="1">
      <calculatedColumnFormula>SUM(Table10[[#This Row],[FOUR WHEELER (INVALID CARRIAGE)]:[TWO WHEELER(T)]])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11" name="Table11" displayName="Table11" ref="A1:B35" totalsRowShown="0">
  <autoFilter ref="A1:B35"/>
  <tableColumns count="2">
    <tableColumn id="1" name="State"/>
    <tableColumn id="2" name="No. of Operational PCS"/>
  </tableColumns>
  <tableStyleInfo name="TableStyleMedium2" showFirstColumn="0" showLastColumn="0" showRowStripes="1" showColumnStripes="0"/>
</table>
</file>

<file path=xl/tables/table4.xml><?xml version="1.0" encoding="utf-8"?>
<table xmlns="http://schemas.openxmlformats.org/spreadsheetml/2006/main" id="12" name="Table12" displayName="Table12" ref="A1:B17" totalsRowShown="0">
  <autoFilter ref="A1:B17"/>
  <tableColumns count="2">
    <tableColumn id="1" name="Vehicle Class"/>
    <tableColumn id="2" name="Total Registration" dataDxfId="0"/>
  </tableColumns>
  <tableStyleInfo name="TableStyleMedium2" showFirstColumn="0" showLastColumn="0" showRowStripes="1" showColumnStripes="0"/>
</table>
</file>

<file path=xl/tables/table5.xml><?xml version="1.0" encoding="utf-8"?>
<table xmlns="http://schemas.openxmlformats.org/spreadsheetml/2006/main" id="13" name="Table13" displayName="Table13" ref="A1:C63" totalsRowShown="0">
  <autoFilter ref="A1:C63"/>
  <tableColumns count="3">
    <tableColumn id="1" name="EV Maker"/>
    <tableColumn id="2" name="Place"/>
    <tableColumn id="3"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88"/>
  <sheetViews>
    <sheetView workbookViewId="0">
      <selection activeCell="M1" sqref="M1"/>
    </sheetView>
  </sheetViews>
  <sheetFormatPr defaultRowHeight="14.4" x14ac:dyDescent="0.3"/>
  <cols>
    <col min="1" max="1" width="6" bestFit="1" customWidth="1"/>
    <col min="2" max="2" width="53.5546875" bestFit="1" customWidth="1"/>
    <col min="3" max="12" width="7.21875" bestFit="1" customWidth="1"/>
    <col min="13" max="13" width="11.88671875" bestFit="1" customWidth="1"/>
  </cols>
  <sheetData>
    <row r="1" spans="1:16" x14ac:dyDescent="0.3">
      <c r="A1" t="s">
        <v>129</v>
      </c>
      <c r="B1" t="s">
        <v>130</v>
      </c>
      <c r="C1" t="s">
        <v>1354</v>
      </c>
      <c r="D1" t="s">
        <v>1355</v>
      </c>
      <c r="E1" t="s">
        <v>1356</v>
      </c>
      <c r="F1" t="s">
        <v>1357</v>
      </c>
      <c r="G1" t="s">
        <v>1358</v>
      </c>
      <c r="H1" t="s">
        <v>1359</v>
      </c>
      <c r="I1" t="s">
        <v>1360</v>
      </c>
      <c r="J1" t="s">
        <v>1361</v>
      </c>
      <c r="K1" t="s">
        <v>1362</v>
      </c>
      <c r="L1" t="s">
        <v>1363</v>
      </c>
      <c r="M1" t="s">
        <v>1377</v>
      </c>
    </row>
    <row r="2" spans="1:16" x14ac:dyDescent="0.3">
      <c r="A2" t="s">
        <v>131</v>
      </c>
      <c r="B2" t="s">
        <v>1364</v>
      </c>
      <c r="C2">
        <v>0</v>
      </c>
      <c r="D2">
        <v>0</v>
      </c>
      <c r="E2">
        <v>31</v>
      </c>
      <c r="F2">
        <v>12</v>
      </c>
      <c r="G2">
        <v>0</v>
      </c>
      <c r="H2">
        <v>0</v>
      </c>
      <c r="I2">
        <v>0</v>
      </c>
      <c r="J2">
        <v>0</v>
      </c>
      <c r="K2">
        <v>0</v>
      </c>
      <c r="L2">
        <v>0</v>
      </c>
      <c r="M2">
        <v>43</v>
      </c>
      <c r="P2" s="3"/>
    </row>
    <row r="3" spans="1:16" x14ac:dyDescent="0.3">
      <c r="A3" t="s">
        <v>131</v>
      </c>
      <c r="B3" t="s">
        <v>132</v>
      </c>
      <c r="C3">
        <v>0</v>
      </c>
      <c r="D3">
        <v>0</v>
      </c>
      <c r="E3">
        <v>0</v>
      </c>
      <c r="F3">
        <v>0</v>
      </c>
      <c r="G3">
        <v>0</v>
      </c>
      <c r="H3">
        <v>0</v>
      </c>
      <c r="I3">
        <v>112</v>
      </c>
      <c r="J3">
        <v>390</v>
      </c>
      <c r="K3">
        <v>545</v>
      </c>
      <c r="L3">
        <v>51</v>
      </c>
      <c r="M3">
        <v>1098</v>
      </c>
      <c r="P3" s="4"/>
    </row>
    <row r="4" spans="1:16" x14ac:dyDescent="0.3">
      <c r="A4" t="s">
        <v>133</v>
      </c>
      <c r="B4" t="s">
        <v>134</v>
      </c>
      <c r="C4">
        <v>0</v>
      </c>
      <c r="D4">
        <v>0</v>
      </c>
      <c r="E4">
        <v>0</v>
      </c>
      <c r="F4">
        <v>1</v>
      </c>
      <c r="G4">
        <v>0</v>
      </c>
      <c r="H4">
        <v>0</v>
      </c>
      <c r="I4">
        <v>0</v>
      </c>
      <c r="J4">
        <v>0</v>
      </c>
      <c r="K4">
        <v>0</v>
      </c>
      <c r="L4">
        <v>0</v>
      </c>
      <c r="M4">
        <v>1</v>
      </c>
      <c r="P4" s="3"/>
    </row>
    <row r="5" spans="1:16" x14ac:dyDescent="0.3">
      <c r="A5" t="s">
        <v>131</v>
      </c>
      <c r="B5" t="s">
        <v>134</v>
      </c>
      <c r="C5">
        <v>0</v>
      </c>
      <c r="D5">
        <v>1</v>
      </c>
      <c r="E5">
        <v>1</v>
      </c>
      <c r="F5">
        <v>0</v>
      </c>
      <c r="G5">
        <v>0</v>
      </c>
      <c r="H5">
        <v>0</v>
      </c>
      <c r="I5">
        <v>0</v>
      </c>
      <c r="J5">
        <v>0</v>
      </c>
      <c r="K5">
        <v>0</v>
      </c>
      <c r="L5">
        <v>0</v>
      </c>
      <c r="M5">
        <v>2</v>
      </c>
      <c r="P5" s="4"/>
    </row>
    <row r="6" spans="1:16" x14ac:dyDescent="0.3">
      <c r="A6" t="s">
        <v>131</v>
      </c>
      <c r="B6" t="s">
        <v>135</v>
      </c>
      <c r="C6">
        <v>0</v>
      </c>
      <c r="D6">
        <v>0</v>
      </c>
      <c r="E6">
        <v>0</v>
      </c>
      <c r="F6">
        <v>0</v>
      </c>
      <c r="G6">
        <v>48</v>
      </c>
      <c r="H6">
        <v>66</v>
      </c>
      <c r="I6">
        <v>43</v>
      </c>
      <c r="J6">
        <v>68</v>
      </c>
      <c r="K6">
        <v>266</v>
      </c>
      <c r="L6">
        <v>578</v>
      </c>
      <c r="M6">
        <v>1069</v>
      </c>
      <c r="P6" s="3"/>
    </row>
    <row r="7" spans="1:16" x14ac:dyDescent="0.3">
      <c r="A7" t="s">
        <v>136</v>
      </c>
      <c r="B7" t="s">
        <v>135</v>
      </c>
      <c r="C7">
        <v>0</v>
      </c>
      <c r="D7">
        <v>0</v>
      </c>
      <c r="E7">
        <v>0</v>
      </c>
      <c r="F7">
        <v>0</v>
      </c>
      <c r="G7">
        <v>3</v>
      </c>
      <c r="H7">
        <v>1</v>
      </c>
      <c r="I7">
        <v>0</v>
      </c>
      <c r="J7">
        <v>0</v>
      </c>
      <c r="K7">
        <v>0</v>
      </c>
      <c r="L7">
        <v>0</v>
      </c>
      <c r="M7">
        <v>4</v>
      </c>
      <c r="P7" s="4"/>
    </row>
    <row r="8" spans="1:16" x14ac:dyDescent="0.3">
      <c r="A8" t="s">
        <v>131</v>
      </c>
      <c r="B8" t="s">
        <v>137</v>
      </c>
      <c r="C8">
        <v>0</v>
      </c>
      <c r="D8">
        <v>1</v>
      </c>
      <c r="E8">
        <v>0</v>
      </c>
      <c r="F8">
        <v>0</v>
      </c>
      <c r="G8">
        <v>0</v>
      </c>
      <c r="H8">
        <v>0</v>
      </c>
      <c r="I8">
        <v>0</v>
      </c>
      <c r="J8">
        <v>0</v>
      </c>
      <c r="K8">
        <v>0</v>
      </c>
      <c r="L8">
        <v>0</v>
      </c>
      <c r="M8">
        <v>1</v>
      </c>
      <c r="P8" s="3"/>
    </row>
    <row r="9" spans="1:16" x14ac:dyDescent="0.3">
      <c r="A9" t="s">
        <v>131</v>
      </c>
      <c r="B9" t="s">
        <v>138</v>
      </c>
      <c r="C9">
        <v>0</v>
      </c>
      <c r="D9">
        <v>0</v>
      </c>
      <c r="E9">
        <v>2</v>
      </c>
      <c r="F9">
        <v>1</v>
      </c>
      <c r="G9">
        <v>0</v>
      </c>
      <c r="H9">
        <v>0</v>
      </c>
      <c r="I9">
        <v>0</v>
      </c>
      <c r="J9">
        <v>0</v>
      </c>
      <c r="K9">
        <v>0</v>
      </c>
      <c r="L9">
        <v>0</v>
      </c>
      <c r="M9">
        <v>3</v>
      </c>
      <c r="P9" s="4"/>
    </row>
    <row r="10" spans="1:16" x14ac:dyDescent="0.3">
      <c r="A10" t="s">
        <v>131</v>
      </c>
      <c r="B10" t="s">
        <v>139</v>
      </c>
      <c r="C10">
        <v>0</v>
      </c>
      <c r="D10">
        <v>1</v>
      </c>
      <c r="E10">
        <v>72</v>
      </c>
      <c r="F10">
        <v>56</v>
      </c>
      <c r="G10">
        <v>42</v>
      </c>
      <c r="H10">
        <v>1</v>
      </c>
      <c r="I10">
        <v>5</v>
      </c>
      <c r="J10">
        <v>3</v>
      </c>
      <c r="K10">
        <v>2</v>
      </c>
      <c r="L10">
        <v>0</v>
      </c>
      <c r="M10">
        <v>182</v>
      </c>
      <c r="P10" s="3"/>
    </row>
    <row r="11" spans="1:16" x14ac:dyDescent="0.3">
      <c r="A11" t="s">
        <v>131</v>
      </c>
      <c r="B11" t="s">
        <v>140</v>
      </c>
      <c r="C11">
        <v>0</v>
      </c>
      <c r="D11">
        <v>0</v>
      </c>
      <c r="E11">
        <v>100</v>
      </c>
      <c r="F11">
        <v>625</v>
      </c>
      <c r="G11">
        <v>438</v>
      </c>
      <c r="H11">
        <v>195</v>
      </c>
      <c r="I11">
        <v>256</v>
      </c>
      <c r="J11">
        <v>433</v>
      </c>
      <c r="K11">
        <v>563</v>
      </c>
      <c r="L11">
        <v>355</v>
      </c>
      <c r="M11">
        <v>2965</v>
      </c>
      <c r="P11" s="4"/>
    </row>
    <row r="12" spans="1:16" x14ac:dyDescent="0.3">
      <c r="A12" t="s">
        <v>131</v>
      </c>
      <c r="B12" t="s">
        <v>141</v>
      </c>
      <c r="C12">
        <v>0</v>
      </c>
      <c r="D12">
        <v>0</v>
      </c>
      <c r="E12">
        <v>0</v>
      </c>
      <c r="F12">
        <v>2</v>
      </c>
      <c r="G12">
        <v>28</v>
      </c>
      <c r="H12">
        <v>14</v>
      </c>
      <c r="I12">
        <v>20</v>
      </c>
      <c r="J12">
        <v>93</v>
      </c>
      <c r="K12">
        <v>279</v>
      </c>
      <c r="L12">
        <v>146</v>
      </c>
      <c r="M12">
        <v>582</v>
      </c>
      <c r="P12" s="3"/>
    </row>
    <row r="13" spans="1:16" x14ac:dyDescent="0.3">
      <c r="A13" t="s">
        <v>136</v>
      </c>
      <c r="B13" t="s">
        <v>142</v>
      </c>
      <c r="C13">
        <v>0</v>
      </c>
      <c r="D13">
        <v>1</v>
      </c>
      <c r="E13">
        <v>0</v>
      </c>
      <c r="F13">
        <v>2</v>
      </c>
      <c r="G13">
        <v>0</v>
      </c>
      <c r="H13">
        <v>0</v>
      </c>
      <c r="I13">
        <v>0</v>
      </c>
      <c r="J13">
        <v>0</v>
      </c>
      <c r="K13">
        <v>0</v>
      </c>
      <c r="L13">
        <v>0</v>
      </c>
      <c r="M13">
        <v>3</v>
      </c>
      <c r="P13" s="4"/>
    </row>
    <row r="14" spans="1:16" x14ac:dyDescent="0.3">
      <c r="A14" t="s">
        <v>131</v>
      </c>
      <c r="B14" t="s">
        <v>143</v>
      </c>
      <c r="C14">
        <v>0</v>
      </c>
      <c r="D14">
        <v>0</v>
      </c>
      <c r="E14">
        <v>0</v>
      </c>
      <c r="F14">
        <v>0</v>
      </c>
      <c r="G14">
        <v>0</v>
      </c>
      <c r="H14">
        <v>1</v>
      </c>
      <c r="I14">
        <v>0</v>
      </c>
      <c r="J14">
        <v>0</v>
      </c>
      <c r="K14">
        <v>0</v>
      </c>
      <c r="L14">
        <v>0</v>
      </c>
      <c r="M14">
        <v>1</v>
      </c>
      <c r="P14" s="3"/>
    </row>
    <row r="15" spans="1:16" x14ac:dyDescent="0.3">
      <c r="A15" t="s">
        <v>131</v>
      </c>
      <c r="B15" t="s">
        <v>144</v>
      </c>
      <c r="C15">
        <v>0</v>
      </c>
      <c r="D15">
        <v>0</v>
      </c>
      <c r="E15">
        <v>0</v>
      </c>
      <c r="F15">
        <v>0</v>
      </c>
      <c r="G15">
        <v>0</v>
      </c>
      <c r="H15">
        <v>0</v>
      </c>
      <c r="I15">
        <v>0</v>
      </c>
      <c r="J15">
        <v>0</v>
      </c>
      <c r="K15">
        <v>0</v>
      </c>
      <c r="L15">
        <v>66</v>
      </c>
      <c r="M15">
        <v>66</v>
      </c>
      <c r="P15" s="4"/>
    </row>
    <row r="16" spans="1:16" x14ac:dyDescent="0.3">
      <c r="A16" t="s">
        <v>131</v>
      </c>
      <c r="B16" t="s">
        <v>145</v>
      </c>
      <c r="C16">
        <v>0</v>
      </c>
      <c r="D16">
        <v>2</v>
      </c>
      <c r="E16">
        <v>8</v>
      </c>
      <c r="F16">
        <v>0</v>
      </c>
      <c r="G16">
        <v>0</v>
      </c>
      <c r="H16">
        <v>0</v>
      </c>
      <c r="I16">
        <v>0</v>
      </c>
      <c r="J16">
        <v>0</v>
      </c>
      <c r="K16">
        <v>0</v>
      </c>
      <c r="L16">
        <v>0</v>
      </c>
      <c r="M16">
        <v>10</v>
      </c>
      <c r="P16" s="3"/>
    </row>
    <row r="17" spans="1:16" x14ac:dyDescent="0.3">
      <c r="A17" t="s">
        <v>131</v>
      </c>
      <c r="B17" t="s">
        <v>146</v>
      </c>
      <c r="C17">
        <v>0</v>
      </c>
      <c r="D17">
        <v>0</v>
      </c>
      <c r="E17">
        <v>0</v>
      </c>
      <c r="F17">
        <v>0</v>
      </c>
      <c r="G17">
        <v>0</v>
      </c>
      <c r="H17">
        <v>0</v>
      </c>
      <c r="I17">
        <v>0</v>
      </c>
      <c r="J17">
        <v>0</v>
      </c>
      <c r="K17">
        <v>0</v>
      </c>
      <c r="L17">
        <v>164</v>
      </c>
      <c r="M17">
        <v>164</v>
      </c>
      <c r="P17" s="4"/>
    </row>
    <row r="18" spans="1:16" x14ac:dyDescent="0.3">
      <c r="A18" t="s">
        <v>131</v>
      </c>
      <c r="B18" t="s">
        <v>147</v>
      </c>
      <c r="C18">
        <v>0</v>
      </c>
      <c r="D18">
        <v>0</v>
      </c>
      <c r="E18">
        <v>33</v>
      </c>
      <c r="F18">
        <v>280</v>
      </c>
      <c r="G18">
        <v>452</v>
      </c>
      <c r="H18">
        <v>256</v>
      </c>
      <c r="I18">
        <v>677</v>
      </c>
      <c r="J18">
        <v>1451</v>
      </c>
      <c r="K18">
        <v>1309</v>
      </c>
      <c r="L18">
        <v>674</v>
      </c>
      <c r="M18">
        <v>5132</v>
      </c>
      <c r="P18" s="3"/>
    </row>
    <row r="19" spans="1:16" x14ac:dyDescent="0.3">
      <c r="A19" t="s">
        <v>133</v>
      </c>
      <c r="B19" t="s">
        <v>148</v>
      </c>
      <c r="C19">
        <v>0</v>
      </c>
      <c r="D19">
        <v>0</v>
      </c>
      <c r="E19">
        <v>0</v>
      </c>
      <c r="F19">
        <v>0</v>
      </c>
      <c r="G19">
        <v>0</v>
      </c>
      <c r="H19">
        <v>0</v>
      </c>
      <c r="I19">
        <v>0</v>
      </c>
      <c r="J19">
        <v>0</v>
      </c>
      <c r="K19">
        <v>0</v>
      </c>
      <c r="L19">
        <v>2</v>
      </c>
      <c r="M19">
        <v>2</v>
      </c>
      <c r="P19" s="4"/>
    </row>
    <row r="20" spans="1:16" x14ac:dyDescent="0.3">
      <c r="A20" t="s">
        <v>131</v>
      </c>
      <c r="B20" t="s">
        <v>149</v>
      </c>
      <c r="C20">
        <v>0</v>
      </c>
      <c r="D20">
        <v>8</v>
      </c>
      <c r="E20">
        <v>94</v>
      </c>
      <c r="F20">
        <v>85</v>
      </c>
      <c r="G20">
        <v>41</v>
      </c>
      <c r="H20">
        <v>3</v>
      </c>
      <c r="I20">
        <v>17</v>
      </c>
      <c r="J20">
        <v>8</v>
      </c>
      <c r="K20">
        <v>0</v>
      </c>
      <c r="L20">
        <v>0</v>
      </c>
      <c r="M20">
        <v>256</v>
      </c>
      <c r="P20" s="3"/>
    </row>
    <row r="21" spans="1:16" x14ac:dyDescent="0.3">
      <c r="A21" t="s">
        <v>136</v>
      </c>
      <c r="B21" t="s">
        <v>149</v>
      </c>
      <c r="C21">
        <v>0</v>
      </c>
      <c r="D21">
        <v>0</v>
      </c>
      <c r="E21">
        <v>2</v>
      </c>
      <c r="F21">
        <v>75</v>
      </c>
      <c r="G21">
        <v>0</v>
      </c>
      <c r="H21">
        <v>0</v>
      </c>
      <c r="I21">
        <v>0</v>
      </c>
      <c r="J21">
        <v>0</v>
      </c>
      <c r="K21">
        <v>0</v>
      </c>
      <c r="L21">
        <v>0</v>
      </c>
      <c r="M21">
        <v>77</v>
      </c>
      <c r="P21" s="4"/>
    </row>
    <row r="22" spans="1:16" x14ac:dyDescent="0.3">
      <c r="A22" t="s">
        <v>131</v>
      </c>
      <c r="B22" t="s">
        <v>150</v>
      </c>
      <c r="C22">
        <v>0</v>
      </c>
      <c r="D22">
        <v>3</v>
      </c>
      <c r="E22">
        <v>0</v>
      </c>
      <c r="F22">
        <v>4</v>
      </c>
      <c r="G22">
        <v>6</v>
      </c>
      <c r="H22">
        <v>4</v>
      </c>
      <c r="I22">
        <v>6</v>
      </c>
      <c r="J22">
        <v>516</v>
      </c>
      <c r="K22">
        <v>797</v>
      </c>
      <c r="L22">
        <v>312</v>
      </c>
      <c r="M22">
        <v>1648</v>
      </c>
      <c r="P22" s="3"/>
    </row>
    <row r="23" spans="1:16" x14ac:dyDescent="0.3">
      <c r="A23" t="s">
        <v>136</v>
      </c>
      <c r="B23" t="s">
        <v>150</v>
      </c>
      <c r="C23">
        <v>0</v>
      </c>
      <c r="D23">
        <v>0</v>
      </c>
      <c r="E23">
        <v>0</v>
      </c>
      <c r="F23">
        <v>0</v>
      </c>
      <c r="G23">
        <v>0</v>
      </c>
      <c r="H23">
        <v>1</v>
      </c>
      <c r="I23">
        <v>0</v>
      </c>
      <c r="J23">
        <v>0</v>
      </c>
      <c r="K23">
        <v>0</v>
      </c>
      <c r="L23">
        <v>0</v>
      </c>
      <c r="M23">
        <v>1</v>
      </c>
      <c r="P23" s="4"/>
    </row>
    <row r="24" spans="1:16" x14ac:dyDescent="0.3">
      <c r="A24" t="s">
        <v>131</v>
      </c>
      <c r="B24" t="s">
        <v>151</v>
      </c>
      <c r="C24">
        <v>0</v>
      </c>
      <c r="D24">
        <v>1</v>
      </c>
      <c r="E24">
        <v>471</v>
      </c>
      <c r="F24">
        <v>179</v>
      </c>
      <c r="G24">
        <v>10</v>
      </c>
      <c r="H24">
        <v>0</v>
      </c>
      <c r="I24">
        <v>0</v>
      </c>
      <c r="J24">
        <v>0</v>
      </c>
      <c r="K24">
        <v>0</v>
      </c>
      <c r="L24">
        <v>0</v>
      </c>
      <c r="M24">
        <v>661</v>
      </c>
      <c r="P24" s="3"/>
    </row>
    <row r="25" spans="1:16" x14ac:dyDescent="0.3">
      <c r="A25" t="s">
        <v>136</v>
      </c>
      <c r="B25" t="s">
        <v>151</v>
      </c>
      <c r="C25">
        <v>0</v>
      </c>
      <c r="D25">
        <v>0</v>
      </c>
      <c r="E25">
        <v>2</v>
      </c>
      <c r="F25">
        <v>6</v>
      </c>
      <c r="G25">
        <v>0</v>
      </c>
      <c r="H25">
        <v>0</v>
      </c>
      <c r="I25">
        <v>0</v>
      </c>
      <c r="J25">
        <v>0</v>
      </c>
      <c r="K25">
        <v>0</v>
      </c>
      <c r="L25">
        <v>0</v>
      </c>
      <c r="M25">
        <v>8</v>
      </c>
      <c r="P25" s="4"/>
    </row>
    <row r="26" spans="1:16" x14ac:dyDescent="0.3">
      <c r="A26" t="s">
        <v>131</v>
      </c>
      <c r="B26" t="s">
        <v>152</v>
      </c>
      <c r="C26">
        <v>0</v>
      </c>
      <c r="D26">
        <v>0</v>
      </c>
      <c r="E26">
        <v>0</v>
      </c>
      <c r="F26">
        <v>0</v>
      </c>
      <c r="G26">
        <v>13</v>
      </c>
      <c r="H26">
        <v>0</v>
      </c>
      <c r="I26">
        <v>0</v>
      </c>
      <c r="J26">
        <v>10</v>
      </c>
      <c r="K26">
        <v>34</v>
      </c>
      <c r="L26">
        <v>4</v>
      </c>
      <c r="M26">
        <v>61</v>
      </c>
      <c r="P26" s="3"/>
    </row>
    <row r="27" spans="1:16" x14ac:dyDescent="0.3">
      <c r="A27" t="s">
        <v>136</v>
      </c>
      <c r="B27" t="s">
        <v>152</v>
      </c>
      <c r="C27">
        <v>0</v>
      </c>
      <c r="D27">
        <v>0</v>
      </c>
      <c r="E27">
        <v>0</v>
      </c>
      <c r="F27">
        <v>0</v>
      </c>
      <c r="G27">
        <v>1</v>
      </c>
      <c r="H27">
        <v>0</v>
      </c>
      <c r="I27">
        <v>0</v>
      </c>
      <c r="J27">
        <v>0</v>
      </c>
      <c r="K27">
        <v>0</v>
      </c>
      <c r="L27">
        <v>0</v>
      </c>
      <c r="M27">
        <v>1</v>
      </c>
      <c r="P27" s="4"/>
    </row>
    <row r="28" spans="1:16" x14ac:dyDescent="0.3">
      <c r="A28" t="s">
        <v>131</v>
      </c>
      <c r="B28" t="s">
        <v>153</v>
      </c>
      <c r="C28">
        <v>0</v>
      </c>
      <c r="D28">
        <v>0</v>
      </c>
      <c r="E28">
        <v>0</v>
      </c>
      <c r="F28">
        <v>0</v>
      </c>
      <c r="G28">
        <v>0</v>
      </c>
      <c r="H28">
        <v>61</v>
      </c>
      <c r="I28">
        <v>202</v>
      </c>
      <c r="J28">
        <v>309</v>
      </c>
      <c r="K28">
        <v>918</v>
      </c>
      <c r="L28">
        <v>1194</v>
      </c>
      <c r="M28">
        <v>2684</v>
      </c>
      <c r="P28" s="3"/>
    </row>
    <row r="29" spans="1:16" x14ac:dyDescent="0.3">
      <c r="A29" t="s">
        <v>131</v>
      </c>
      <c r="B29" t="s">
        <v>154</v>
      </c>
      <c r="C29">
        <v>0</v>
      </c>
      <c r="D29">
        <v>0</v>
      </c>
      <c r="E29">
        <v>0</v>
      </c>
      <c r="F29">
        <v>0</v>
      </c>
      <c r="G29">
        <v>0</v>
      </c>
      <c r="H29">
        <v>0</v>
      </c>
      <c r="I29">
        <v>0</v>
      </c>
      <c r="J29">
        <v>0</v>
      </c>
      <c r="K29">
        <v>0</v>
      </c>
      <c r="L29">
        <v>16</v>
      </c>
      <c r="M29">
        <v>16</v>
      </c>
      <c r="P29" s="4"/>
    </row>
    <row r="30" spans="1:16" x14ac:dyDescent="0.3">
      <c r="A30" t="s">
        <v>131</v>
      </c>
      <c r="B30" t="s">
        <v>155</v>
      </c>
      <c r="C30">
        <v>0</v>
      </c>
      <c r="D30">
        <v>0</v>
      </c>
      <c r="E30">
        <v>1</v>
      </c>
      <c r="F30">
        <v>0</v>
      </c>
      <c r="G30">
        <v>0</v>
      </c>
      <c r="H30">
        <v>0</v>
      </c>
      <c r="I30">
        <v>10</v>
      </c>
      <c r="J30">
        <v>13</v>
      </c>
      <c r="K30">
        <v>18</v>
      </c>
      <c r="L30">
        <v>4</v>
      </c>
      <c r="M30">
        <v>46</v>
      </c>
      <c r="P30" s="3"/>
    </row>
    <row r="31" spans="1:16" x14ac:dyDescent="0.3">
      <c r="A31" t="s">
        <v>131</v>
      </c>
      <c r="B31" t="s">
        <v>156</v>
      </c>
      <c r="C31">
        <v>0</v>
      </c>
      <c r="D31">
        <v>0</v>
      </c>
      <c r="E31">
        <v>0</v>
      </c>
      <c r="F31">
        <v>0</v>
      </c>
      <c r="G31">
        <v>1</v>
      </c>
      <c r="H31">
        <v>0</v>
      </c>
      <c r="I31">
        <v>0</v>
      </c>
      <c r="J31">
        <v>0</v>
      </c>
      <c r="K31">
        <v>0</v>
      </c>
      <c r="L31">
        <v>0</v>
      </c>
      <c r="M31">
        <v>1</v>
      </c>
      <c r="P31" s="4"/>
    </row>
    <row r="32" spans="1:16" x14ac:dyDescent="0.3">
      <c r="A32" t="s">
        <v>131</v>
      </c>
      <c r="B32" t="s">
        <v>157</v>
      </c>
      <c r="C32">
        <v>0</v>
      </c>
      <c r="D32">
        <v>0</v>
      </c>
      <c r="E32">
        <v>1</v>
      </c>
      <c r="F32">
        <v>0</v>
      </c>
      <c r="G32">
        <v>0</v>
      </c>
      <c r="H32">
        <v>0</v>
      </c>
      <c r="I32">
        <v>0</v>
      </c>
      <c r="J32">
        <v>0</v>
      </c>
      <c r="K32">
        <v>0</v>
      </c>
      <c r="L32">
        <v>0</v>
      </c>
      <c r="M32">
        <v>1</v>
      </c>
      <c r="P32" s="3"/>
    </row>
    <row r="33" spans="1:16" x14ac:dyDescent="0.3">
      <c r="A33" t="s">
        <v>136</v>
      </c>
      <c r="B33" t="s">
        <v>158</v>
      </c>
      <c r="C33">
        <v>0</v>
      </c>
      <c r="D33">
        <v>0</v>
      </c>
      <c r="E33">
        <v>1</v>
      </c>
      <c r="F33">
        <v>0</v>
      </c>
      <c r="G33">
        <v>0</v>
      </c>
      <c r="H33">
        <v>0</v>
      </c>
      <c r="I33">
        <v>0</v>
      </c>
      <c r="J33">
        <v>0</v>
      </c>
      <c r="K33">
        <v>0</v>
      </c>
      <c r="L33">
        <v>0</v>
      </c>
      <c r="M33">
        <v>1</v>
      </c>
      <c r="P33" s="4"/>
    </row>
    <row r="34" spans="1:16" x14ac:dyDescent="0.3">
      <c r="A34" t="s">
        <v>133</v>
      </c>
      <c r="B34" t="s">
        <v>159</v>
      </c>
      <c r="C34">
        <v>0</v>
      </c>
      <c r="D34">
        <v>0</v>
      </c>
      <c r="E34">
        <v>0</v>
      </c>
      <c r="F34">
        <v>0</v>
      </c>
      <c r="G34">
        <v>0</v>
      </c>
      <c r="H34">
        <v>0</v>
      </c>
      <c r="I34">
        <v>0</v>
      </c>
      <c r="J34">
        <v>0</v>
      </c>
      <c r="K34">
        <v>12</v>
      </c>
      <c r="L34">
        <v>48</v>
      </c>
      <c r="M34">
        <v>60</v>
      </c>
      <c r="P34" s="3"/>
    </row>
    <row r="35" spans="1:16" x14ac:dyDescent="0.3">
      <c r="A35" t="s">
        <v>131</v>
      </c>
      <c r="B35" t="s">
        <v>160</v>
      </c>
      <c r="C35">
        <v>0</v>
      </c>
      <c r="D35">
        <v>1</v>
      </c>
      <c r="E35">
        <v>21</v>
      </c>
      <c r="F35">
        <v>240</v>
      </c>
      <c r="G35">
        <v>315</v>
      </c>
      <c r="H35">
        <v>111</v>
      </c>
      <c r="I35">
        <v>207</v>
      </c>
      <c r="J35">
        <v>608</v>
      </c>
      <c r="K35">
        <v>598</v>
      </c>
      <c r="L35">
        <v>329</v>
      </c>
      <c r="M35">
        <v>2430</v>
      </c>
      <c r="P35" s="4"/>
    </row>
    <row r="36" spans="1:16" x14ac:dyDescent="0.3">
      <c r="A36" t="s">
        <v>133</v>
      </c>
      <c r="B36" t="s">
        <v>161</v>
      </c>
      <c r="C36">
        <v>0</v>
      </c>
      <c r="D36">
        <v>1</v>
      </c>
      <c r="E36">
        <v>0</v>
      </c>
      <c r="F36">
        <v>0</v>
      </c>
      <c r="G36">
        <v>0</v>
      </c>
      <c r="H36">
        <v>0</v>
      </c>
      <c r="I36">
        <v>0</v>
      </c>
      <c r="J36">
        <v>0</v>
      </c>
      <c r="K36">
        <v>0</v>
      </c>
      <c r="L36">
        <v>0</v>
      </c>
      <c r="M36">
        <v>1</v>
      </c>
      <c r="P36" s="3"/>
    </row>
    <row r="37" spans="1:16" x14ac:dyDescent="0.3">
      <c r="A37" t="s">
        <v>131</v>
      </c>
      <c r="B37" t="s">
        <v>161</v>
      </c>
      <c r="C37">
        <v>0</v>
      </c>
      <c r="D37">
        <v>0</v>
      </c>
      <c r="E37">
        <v>4</v>
      </c>
      <c r="F37">
        <v>0</v>
      </c>
      <c r="G37">
        <v>0</v>
      </c>
      <c r="H37">
        <v>0</v>
      </c>
      <c r="I37">
        <v>0</v>
      </c>
      <c r="J37">
        <v>0</v>
      </c>
      <c r="K37">
        <v>0</v>
      </c>
      <c r="L37">
        <v>0</v>
      </c>
      <c r="M37">
        <v>4</v>
      </c>
      <c r="P37" s="4"/>
    </row>
    <row r="38" spans="1:16" x14ac:dyDescent="0.3">
      <c r="A38" t="s">
        <v>136</v>
      </c>
      <c r="B38" t="s">
        <v>161</v>
      </c>
      <c r="C38">
        <v>6</v>
      </c>
      <c r="D38">
        <v>1</v>
      </c>
      <c r="E38">
        <v>0</v>
      </c>
      <c r="F38">
        <v>0</v>
      </c>
      <c r="G38">
        <v>0</v>
      </c>
      <c r="H38">
        <v>0</v>
      </c>
      <c r="I38">
        <v>0</v>
      </c>
      <c r="J38">
        <v>0</v>
      </c>
      <c r="K38">
        <v>0</v>
      </c>
      <c r="L38">
        <v>0</v>
      </c>
      <c r="M38">
        <v>7</v>
      </c>
      <c r="P38" s="3"/>
    </row>
    <row r="39" spans="1:16" x14ac:dyDescent="0.3">
      <c r="A39" t="s">
        <v>131</v>
      </c>
      <c r="B39" t="s">
        <v>162</v>
      </c>
      <c r="C39">
        <v>0</v>
      </c>
      <c r="D39">
        <v>0</v>
      </c>
      <c r="E39">
        <v>0</v>
      </c>
      <c r="F39">
        <v>0</v>
      </c>
      <c r="G39">
        <v>6</v>
      </c>
      <c r="H39">
        <v>2</v>
      </c>
      <c r="I39">
        <v>1</v>
      </c>
      <c r="J39">
        <v>3</v>
      </c>
      <c r="K39">
        <v>4</v>
      </c>
      <c r="L39">
        <v>1</v>
      </c>
      <c r="M39">
        <v>17</v>
      </c>
      <c r="P39" s="4"/>
    </row>
    <row r="40" spans="1:16" x14ac:dyDescent="0.3">
      <c r="A40" t="s">
        <v>136</v>
      </c>
      <c r="B40" t="s">
        <v>162</v>
      </c>
      <c r="C40">
        <v>0</v>
      </c>
      <c r="D40">
        <v>0</v>
      </c>
      <c r="E40">
        <v>0</v>
      </c>
      <c r="F40">
        <v>0</v>
      </c>
      <c r="G40">
        <v>0</v>
      </c>
      <c r="H40">
        <v>0</v>
      </c>
      <c r="I40">
        <v>0</v>
      </c>
      <c r="J40">
        <v>0</v>
      </c>
      <c r="K40">
        <v>0</v>
      </c>
      <c r="L40">
        <v>1</v>
      </c>
      <c r="M40">
        <v>1</v>
      </c>
      <c r="P40" s="3"/>
    </row>
    <row r="41" spans="1:16" x14ac:dyDescent="0.3">
      <c r="A41" t="s">
        <v>131</v>
      </c>
      <c r="B41" t="s">
        <v>163</v>
      </c>
      <c r="C41">
        <v>0</v>
      </c>
      <c r="D41">
        <v>0</v>
      </c>
      <c r="E41">
        <v>0</v>
      </c>
      <c r="F41">
        <v>0</v>
      </c>
      <c r="G41">
        <v>8</v>
      </c>
      <c r="H41">
        <v>14</v>
      </c>
      <c r="I41">
        <v>34</v>
      </c>
      <c r="J41">
        <v>168</v>
      </c>
      <c r="K41">
        <v>689</v>
      </c>
      <c r="L41">
        <v>927</v>
      </c>
      <c r="M41">
        <v>1840</v>
      </c>
      <c r="P41" s="4"/>
    </row>
    <row r="42" spans="1:16" x14ac:dyDescent="0.3">
      <c r="A42" t="s">
        <v>131</v>
      </c>
      <c r="B42" t="s">
        <v>164</v>
      </c>
      <c r="C42">
        <v>0</v>
      </c>
      <c r="D42">
        <v>2</v>
      </c>
      <c r="E42">
        <v>17</v>
      </c>
      <c r="F42">
        <v>3</v>
      </c>
      <c r="G42">
        <v>0</v>
      </c>
      <c r="H42">
        <v>0</v>
      </c>
      <c r="I42">
        <v>1</v>
      </c>
      <c r="J42">
        <v>0</v>
      </c>
      <c r="K42">
        <v>0</v>
      </c>
      <c r="L42">
        <v>0</v>
      </c>
      <c r="M42">
        <v>23</v>
      </c>
      <c r="P42" s="3"/>
    </row>
    <row r="43" spans="1:16" x14ac:dyDescent="0.3">
      <c r="A43" t="s">
        <v>131</v>
      </c>
      <c r="B43" t="s">
        <v>165</v>
      </c>
      <c r="C43">
        <v>0</v>
      </c>
      <c r="D43">
        <v>0</v>
      </c>
      <c r="E43">
        <v>0</v>
      </c>
      <c r="F43">
        <v>0</v>
      </c>
      <c r="G43">
        <v>1</v>
      </c>
      <c r="H43">
        <v>0</v>
      </c>
      <c r="I43">
        <v>5</v>
      </c>
      <c r="J43">
        <v>3</v>
      </c>
      <c r="K43">
        <v>1</v>
      </c>
      <c r="L43">
        <v>0</v>
      </c>
      <c r="M43">
        <v>10</v>
      </c>
      <c r="P43" s="4"/>
    </row>
    <row r="44" spans="1:16" x14ac:dyDescent="0.3">
      <c r="A44" t="s">
        <v>131</v>
      </c>
      <c r="B44" t="s">
        <v>166</v>
      </c>
      <c r="C44">
        <v>0</v>
      </c>
      <c r="D44">
        <v>39</v>
      </c>
      <c r="E44">
        <v>187</v>
      </c>
      <c r="F44">
        <v>176</v>
      </c>
      <c r="G44">
        <v>296</v>
      </c>
      <c r="H44">
        <v>75</v>
      </c>
      <c r="I44">
        <v>53</v>
      </c>
      <c r="J44">
        <v>129</v>
      </c>
      <c r="K44">
        <v>179</v>
      </c>
      <c r="L44">
        <v>152</v>
      </c>
      <c r="M44">
        <v>1286</v>
      </c>
      <c r="P44" s="3"/>
    </row>
    <row r="45" spans="1:16" x14ac:dyDescent="0.3">
      <c r="A45" t="s">
        <v>136</v>
      </c>
      <c r="B45" t="s">
        <v>166</v>
      </c>
      <c r="C45">
        <v>0</v>
      </c>
      <c r="D45">
        <v>0</v>
      </c>
      <c r="E45">
        <v>2</v>
      </c>
      <c r="F45">
        <v>2</v>
      </c>
      <c r="G45">
        <v>0</v>
      </c>
      <c r="H45">
        <v>0</v>
      </c>
      <c r="I45">
        <v>0</v>
      </c>
      <c r="J45">
        <v>0</v>
      </c>
      <c r="K45">
        <v>0</v>
      </c>
      <c r="L45">
        <v>0</v>
      </c>
      <c r="M45">
        <v>4</v>
      </c>
      <c r="P45" s="4"/>
    </row>
    <row r="46" spans="1:16" x14ac:dyDescent="0.3">
      <c r="A46" t="s">
        <v>131</v>
      </c>
      <c r="B46" t="s">
        <v>167</v>
      </c>
      <c r="C46">
        <v>0</v>
      </c>
      <c r="D46">
        <v>0</v>
      </c>
      <c r="E46">
        <v>0</v>
      </c>
      <c r="F46">
        <v>0</v>
      </c>
      <c r="G46">
        <v>0</v>
      </c>
      <c r="H46">
        <v>0</v>
      </c>
      <c r="I46">
        <v>0</v>
      </c>
      <c r="J46">
        <v>0</v>
      </c>
      <c r="K46">
        <v>129</v>
      </c>
      <c r="L46">
        <v>151</v>
      </c>
      <c r="M46">
        <v>280</v>
      </c>
      <c r="P46" s="3"/>
    </row>
    <row r="47" spans="1:16" x14ac:dyDescent="0.3">
      <c r="A47" t="s">
        <v>133</v>
      </c>
      <c r="B47" t="s">
        <v>168</v>
      </c>
      <c r="C47">
        <v>0</v>
      </c>
      <c r="D47">
        <v>0</v>
      </c>
      <c r="E47">
        <v>0</v>
      </c>
      <c r="F47">
        <v>0</v>
      </c>
      <c r="G47">
        <v>0</v>
      </c>
      <c r="H47">
        <v>0</v>
      </c>
      <c r="I47">
        <v>65</v>
      </c>
      <c r="J47">
        <v>226</v>
      </c>
      <c r="K47">
        <v>61</v>
      </c>
      <c r="L47">
        <v>8</v>
      </c>
      <c r="M47">
        <v>360</v>
      </c>
      <c r="P47" s="4"/>
    </row>
    <row r="48" spans="1:16" x14ac:dyDescent="0.3">
      <c r="A48" t="s">
        <v>133</v>
      </c>
      <c r="B48" t="s">
        <v>169</v>
      </c>
      <c r="C48">
        <v>0</v>
      </c>
      <c r="D48">
        <v>0</v>
      </c>
      <c r="E48">
        <v>0</v>
      </c>
      <c r="F48">
        <v>0</v>
      </c>
      <c r="G48">
        <v>0</v>
      </c>
      <c r="H48">
        <v>1</v>
      </c>
      <c r="I48">
        <v>8</v>
      </c>
      <c r="J48">
        <v>186</v>
      </c>
      <c r="K48">
        <v>138</v>
      </c>
      <c r="L48">
        <v>34</v>
      </c>
      <c r="M48">
        <v>367</v>
      </c>
      <c r="P48" s="3"/>
    </row>
    <row r="49" spans="1:16" x14ac:dyDescent="0.3">
      <c r="A49" t="s">
        <v>131</v>
      </c>
      <c r="B49" t="s">
        <v>170</v>
      </c>
      <c r="C49">
        <v>0</v>
      </c>
      <c r="D49">
        <v>1</v>
      </c>
      <c r="E49">
        <v>0</v>
      </c>
      <c r="F49">
        <v>0</v>
      </c>
      <c r="G49">
        <v>0</v>
      </c>
      <c r="H49">
        <v>0</v>
      </c>
      <c r="I49">
        <v>0</v>
      </c>
      <c r="J49">
        <v>0</v>
      </c>
      <c r="K49">
        <v>0</v>
      </c>
      <c r="L49">
        <v>0</v>
      </c>
      <c r="M49">
        <v>1</v>
      </c>
      <c r="P49" s="4"/>
    </row>
    <row r="50" spans="1:16" x14ac:dyDescent="0.3">
      <c r="A50" t="s">
        <v>131</v>
      </c>
      <c r="B50" t="s">
        <v>171</v>
      </c>
      <c r="C50">
        <v>0</v>
      </c>
      <c r="D50">
        <v>0</v>
      </c>
      <c r="E50">
        <v>0</v>
      </c>
      <c r="F50">
        <v>0</v>
      </c>
      <c r="G50">
        <v>2</v>
      </c>
      <c r="H50">
        <v>2</v>
      </c>
      <c r="I50">
        <v>1</v>
      </c>
      <c r="J50">
        <v>1</v>
      </c>
      <c r="K50">
        <v>0</v>
      </c>
      <c r="L50">
        <v>2</v>
      </c>
      <c r="M50">
        <v>8</v>
      </c>
      <c r="P50" s="3"/>
    </row>
    <row r="51" spans="1:16" x14ac:dyDescent="0.3">
      <c r="A51" t="s">
        <v>131</v>
      </c>
      <c r="B51" t="s">
        <v>172</v>
      </c>
      <c r="C51">
        <v>0</v>
      </c>
      <c r="D51">
        <v>0</v>
      </c>
      <c r="E51">
        <v>1</v>
      </c>
      <c r="F51">
        <v>0</v>
      </c>
      <c r="G51">
        <v>0</v>
      </c>
      <c r="H51">
        <v>0</v>
      </c>
      <c r="I51">
        <v>0</v>
      </c>
      <c r="J51">
        <v>0</v>
      </c>
      <c r="K51">
        <v>0</v>
      </c>
      <c r="L51">
        <v>0</v>
      </c>
      <c r="M51">
        <v>1</v>
      </c>
      <c r="P51" s="4"/>
    </row>
    <row r="52" spans="1:16" x14ac:dyDescent="0.3">
      <c r="A52" t="s">
        <v>136</v>
      </c>
      <c r="B52" t="s">
        <v>173</v>
      </c>
      <c r="C52">
        <v>0</v>
      </c>
      <c r="D52">
        <v>0</v>
      </c>
      <c r="E52">
        <v>2</v>
      </c>
      <c r="F52">
        <v>0</v>
      </c>
      <c r="G52">
        <v>0</v>
      </c>
      <c r="H52">
        <v>0</v>
      </c>
      <c r="I52">
        <v>0</v>
      </c>
      <c r="J52">
        <v>0</v>
      </c>
      <c r="K52">
        <v>0</v>
      </c>
      <c r="L52">
        <v>0</v>
      </c>
      <c r="M52">
        <v>2</v>
      </c>
      <c r="P52" s="3"/>
    </row>
    <row r="53" spans="1:16" x14ac:dyDescent="0.3">
      <c r="A53" t="s">
        <v>133</v>
      </c>
      <c r="B53" t="s">
        <v>174</v>
      </c>
      <c r="C53">
        <v>0</v>
      </c>
      <c r="D53">
        <v>0</v>
      </c>
      <c r="E53">
        <v>0</v>
      </c>
      <c r="F53">
        <v>0</v>
      </c>
      <c r="G53">
        <v>0</v>
      </c>
      <c r="H53">
        <v>0</v>
      </c>
      <c r="I53">
        <v>1</v>
      </c>
      <c r="J53">
        <v>0</v>
      </c>
      <c r="K53">
        <v>0</v>
      </c>
      <c r="L53">
        <v>0</v>
      </c>
      <c r="M53">
        <v>1</v>
      </c>
      <c r="P53" s="4"/>
    </row>
    <row r="54" spans="1:16" x14ac:dyDescent="0.3">
      <c r="A54" t="s">
        <v>131</v>
      </c>
      <c r="B54" t="s">
        <v>175</v>
      </c>
      <c r="C54">
        <v>0</v>
      </c>
      <c r="D54">
        <v>0</v>
      </c>
      <c r="E54">
        <v>0</v>
      </c>
      <c r="F54">
        <v>0</v>
      </c>
      <c r="G54">
        <v>0</v>
      </c>
      <c r="H54">
        <v>0</v>
      </c>
      <c r="I54">
        <v>0</v>
      </c>
      <c r="J54">
        <v>33</v>
      </c>
      <c r="K54">
        <v>190</v>
      </c>
      <c r="L54">
        <v>109</v>
      </c>
      <c r="M54">
        <v>332</v>
      </c>
      <c r="P54" s="3"/>
    </row>
    <row r="55" spans="1:16" x14ac:dyDescent="0.3">
      <c r="A55" t="s">
        <v>131</v>
      </c>
      <c r="B55" t="s">
        <v>176</v>
      </c>
      <c r="C55">
        <v>0</v>
      </c>
      <c r="D55">
        <v>0</v>
      </c>
      <c r="E55">
        <v>0</v>
      </c>
      <c r="F55">
        <v>0</v>
      </c>
      <c r="G55">
        <v>1</v>
      </c>
      <c r="H55">
        <v>0</v>
      </c>
      <c r="I55">
        <v>0</v>
      </c>
      <c r="J55">
        <v>0</v>
      </c>
      <c r="K55">
        <v>0</v>
      </c>
      <c r="L55">
        <v>0</v>
      </c>
      <c r="M55">
        <v>1</v>
      </c>
      <c r="P55" s="4"/>
    </row>
    <row r="56" spans="1:16" x14ac:dyDescent="0.3">
      <c r="A56" t="s">
        <v>136</v>
      </c>
      <c r="B56" t="s">
        <v>177</v>
      </c>
      <c r="C56">
        <v>0</v>
      </c>
      <c r="D56">
        <v>0</v>
      </c>
      <c r="E56">
        <v>0</v>
      </c>
      <c r="F56">
        <v>1</v>
      </c>
      <c r="G56">
        <v>0</v>
      </c>
      <c r="H56">
        <v>0</v>
      </c>
      <c r="I56">
        <v>0</v>
      </c>
      <c r="J56">
        <v>0</v>
      </c>
      <c r="K56">
        <v>0</v>
      </c>
      <c r="L56">
        <v>0</v>
      </c>
      <c r="M56">
        <v>1</v>
      </c>
      <c r="P56" s="3"/>
    </row>
    <row r="57" spans="1:16" x14ac:dyDescent="0.3">
      <c r="A57" t="s">
        <v>131</v>
      </c>
      <c r="B57" t="s">
        <v>178</v>
      </c>
      <c r="C57">
        <v>0</v>
      </c>
      <c r="D57">
        <v>0</v>
      </c>
      <c r="E57">
        <v>0</v>
      </c>
      <c r="F57">
        <v>0</v>
      </c>
      <c r="G57">
        <v>0</v>
      </c>
      <c r="H57">
        <v>0</v>
      </c>
      <c r="I57">
        <v>0</v>
      </c>
      <c r="J57">
        <v>0</v>
      </c>
      <c r="K57">
        <v>138</v>
      </c>
      <c r="L57">
        <v>1048</v>
      </c>
      <c r="M57">
        <v>1186</v>
      </c>
      <c r="P57" s="4"/>
    </row>
    <row r="58" spans="1:16" x14ac:dyDescent="0.3">
      <c r="A58" t="s">
        <v>131</v>
      </c>
      <c r="B58" t="s">
        <v>179</v>
      </c>
      <c r="C58">
        <v>0</v>
      </c>
      <c r="D58">
        <v>0</v>
      </c>
      <c r="E58">
        <v>0</v>
      </c>
      <c r="F58">
        <v>0</v>
      </c>
      <c r="G58">
        <v>1</v>
      </c>
      <c r="H58">
        <v>0</v>
      </c>
      <c r="I58">
        <v>0</v>
      </c>
      <c r="J58">
        <v>0</v>
      </c>
      <c r="K58">
        <v>0</v>
      </c>
      <c r="L58">
        <v>0</v>
      </c>
      <c r="M58">
        <v>1</v>
      </c>
      <c r="P58" s="3"/>
    </row>
    <row r="59" spans="1:16" x14ac:dyDescent="0.3">
      <c r="A59" t="s">
        <v>131</v>
      </c>
      <c r="B59" t="s">
        <v>180</v>
      </c>
      <c r="C59">
        <v>0</v>
      </c>
      <c r="D59">
        <v>0</v>
      </c>
      <c r="E59">
        <v>0</v>
      </c>
      <c r="F59">
        <v>15</v>
      </c>
      <c r="G59">
        <v>6</v>
      </c>
      <c r="H59">
        <v>15</v>
      </c>
      <c r="I59">
        <v>0</v>
      </c>
      <c r="J59">
        <v>14</v>
      </c>
      <c r="K59">
        <v>39</v>
      </c>
      <c r="L59">
        <v>4</v>
      </c>
      <c r="M59">
        <v>93</v>
      </c>
      <c r="P59" s="4"/>
    </row>
    <row r="60" spans="1:16" x14ac:dyDescent="0.3">
      <c r="A60" t="s">
        <v>181</v>
      </c>
      <c r="B60" t="s">
        <v>182</v>
      </c>
      <c r="C60">
        <v>0</v>
      </c>
      <c r="D60">
        <v>0</v>
      </c>
      <c r="E60">
        <v>0</v>
      </c>
      <c r="F60">
        <v>0</v>
      </c>
      <c r="G60">
        <v>0</v>
      </c>
      <c r="H60">
        <v>0</v>
      </c>
      <c r="I60">
        <v>0</v>
      </c>
      <c r="J60">
        <v>0</v>
      </c>
      <c r="K60">
        <v>5</v>
      </c>
      <c r="L60">
        <v>20</v>
      </c>
      <c r="M60">
        <v>25</v>
      </c>
      <c r="P60" s="3"/>
    </row>
    <row r="61" spans="1:16" x14ac:dyDescent="0.3">
      <c r="A61" t="s">
        <v>131</v>
      </c>
      <c r="B61" t="s">
        <v>183</v>
      </c>
      <c r="C61">
        <v>0</v>
      </c>
      <c r="D61">
        <v>0</v>
      </c>
      <c r="E61">
        <v>0</v>
      </c>
      <c r="F61">
        <v>0</v>
      </c>
      <c r="G61">
        <v>0</v>
      </c>
      <c r="H61">
        <v>0</v>
      </c>
      <c r="I61">
        <v>0</v>
      </c>
      <c r="J61">
        <v>0</v>
      </c>
      <c r="K61">
        <v>59</v>
      </c>
      <c r="L61">
        <v>131</v>
      </c>
      <c r="M61">
        <v>190</v>
      </c>
      <c r="P61" s="4"/>
    </row>
    <row r="62" spans="1:16" x14ac:dyDescent="0.3">
      <c r="A62" t="s">
        <v>131</v>
      </c>
      <c r="B62" t="s">
        <v>184</v>
      </c>
      <c r="C62">
        <v>0</v>
      </c>
      <c r="D62">
        <v>2</v>
      </c>
      <c r="E62">
        <v>239</v>
      </c>
      <c r="F62">
        <v>763</v>
      </c>
      <c r="G62">
        <v>1737</v>
      </c>
      <c r="H62">
        <v>1180</v>
      </c>
      <c r="I62">
        <v>2370</v>
      </c>
      <c r="J62">
        <v>5884</v>
      </c>
      <c r="K62">
        <v>10743</v>
      </c>
      <c r="L62">
        <v>6317</v>
      </c>
      <c r="M62">
        <v>29235</v>
      </c>
      <c r="P62" s="3"/>
    </row>
    <row r="63" spans="1:16" x14ac:dyDescent="0.3">
      <c r="A63" t="s">
        <v>136</v>
      </c>
      <c r="B63" t="s">
        <v>184</v>
      </c>
      <c r="C63">
        <v>0</v>
      </c>
      <c r="D63">
        <v>0</v>
      </c>
      <c r="E63">
        <v>0</v>
      </c>
      <c r="F63">
        <v>0</v>
      </c>
      <c r="G63">
        <v>0</v>
      </c>
      <c r="H63">
        <v>0</v>
      </c>
      <c r="I63">
        <v>0</v>
      </c>
      <c r="J63">
        <v>0</v>
      </c>
      <c r="K63">
        <v>8</v>
      </c>
      <c r="L63">
        <v>0</v>
      </c>
      <c r="M63">
        <v>8</v>
      </c>
      <c r="P63" s="4"/>
    </row>
    <row r="64" spans="1:16" x14ac:dyDescent="0.3">
      <c r="A64" t="s">
        <v>131</v>
      </c>
      <c r="B64" t="s">
        <v>185</v>
      </c>
      <c r="C64">
        <v>0</v>
      </c>
      <c r="D64">
        <v>0</v>
      </c>
      <c r="E64">
        <v>0</v>
      </c>
      <c r="F64">
        <v>0</v>
      </c>
      <c r="G64">
        <v>177</v>
      </c>
      <c r="H64">
        <v>308</v>
      </c>
      <c r="I64">
        <v>381</v>
      </c>
      <c r="J64">
        <v>1626</v>
      </c>
      <c r="K64">
        <v>2517</v>
      </c>
      <c r="L64">
        <v>1804</v>
      </c>
      <c r="M64">
        <v>6813</v>
      </c>
      <c r="P64" s="3"/>
    </row>
    <row r="65" spans="1:16" x14ac:dyDescent="0.3">
      <c r="A65" t="s">
        <v>136</v>
      </c>
      <c r="B65" t="s">
        <v>185</v>
      </c>
      <c r="C65">
        <v>0</v>
      </c>
      <c r="D65">
        <v>0</v>
      </c>
      <c r="E65">
        <v>0</v>
      </c>
      <c r="F65">
        <v>0</v>
      </c>
      <c r="G65">
        <v>0</v>
      </c>
      <c r="H65">
        <v>0</v>
      </c>
      <c r="I65">
        <v>0</v>
      </c>
      <c r="J65">
        <v>0</v>
      </c>
      <c r="K65">
        <v>1</v>
      </c>
      <c r="L65">
        <v>0</v>
      </c>
      <c r="M65">
        <v>1</v>
      </c>
      <c r="P65" s="4"/>
    </row>
    <row r="66" spans="1:16" x14ac:dyDescent="0.3">
      <c r="A66" t="s">
        <v>131</v>
      </c>
      <c r="B66" t="s">
        <v>186</v>
      </c>
      <c r="C66">
        <v>0</v>
      </c>
      <c r="D66">
        <v>0</v>
      </c>
      <c r="E66">
        <v>0</v>
      </c>
      <c r="F66">
        <v>0</v>
      </c>
      <c r="G66">
        <v>0</v>
      </c>
      <c r="H66">
        <v>3</v>
      </c>
      <c r="I66">
        <v>144</v>
      </c>
      <c r="J66">
        <v>699</v>
      </c>
      <c r="K66">
        <v>2512</v>
      </c>
      <c r="L66">
        <v>939</v>
      </c>
      <c r="M66">
        <v>4297</v>
      </c>
      <c r="P66" s="3"/>
    </row>
    <row r="67" spans="1:16" x14ac:dyDescent="0.3">
      <c r="A67" t="s">
        <v>136</v>
      </c>
      <c r="B67" t="s">
        <v>186</v>
      </c>
      <c r="C67">
        <v>0</v>
      </c>
      <c r="D67">
        <v>0</v>
      </c>
      <c r="E67">
        <v>0</v>
      </c>
      <c r="F67">
        <v>0</v>
      </c>
      <c r="G67">
        <v>0</v>
      </c>
      <c r="H67">
        <v>0</v>
      </c>
      <c r="I67">
        <v>2</v>
      </c>
      <c r="J67">
        <v>0</v>
      </c>
      <c r="K67">
        <v>7</v>
      </c>
      <c r="L67">
        <v>6</v>
      </c>
      <c r="M67">
        <v>15</v>
      </c>
      <c r="P67" s="4"/>
    </row>
    <row r="68" spans="1:16" x14ac:dyDescent="0.3">
      <c r="A68" t="s">
        <v>133</v>
      </c>
      <c r="B68" t="s">
        <v>187</v>
      </c>
      <c r="C68">
        <v>0</v>
      </c>
      <c r="D68">
        <v>0</v>
      </c>
      <c r="E68">
        <v>0</v>
      </c>
      <c r="F68">
        <v>0</v>
      </c>
      <c r="G68">
        <v>0</v>
      </c>
      <c r="H68">
        <v>0</v>
      </c>
      <c r="I68">
        <v>0</v>
      </c>
      <c r="J68">
        <v>67</v>
      </c>
      <c r="K68">
        <v>37</v>
      </c>
      <c r="L68">
        <v>14</v>
      </c>
      <c r="M68">
        <v>118</v>
      </c>
      <c r="P68" s="3"/>
    </row>
    <row r="69" spans="1:16" x14ac:dyDescent="0.3">
      <c r="A69" t="s">
        <v>131</v>
      </c>
      <c r="B69" t="s">
        <v>188</v>
      </c>
      <c r="C69">
        <v>0</v>
      </c>
      <c r="D69">
        <v>32</v>
      </c>
      <c r="E69">
        <v>7</v>
      </c>
      <c r="F69">
        <v>0</v>
      </c>
      <c r="G69">
        <v>79</v>
      </c>
      <c r="H69">
        <v>30</v>
      </c>
      <c r="I69">
        <v>29</v>
      </c>
      <c r="J69">
        <v>9</v>
      </c>
      <c r="K69">
        <v>13</v>
      </c>
      <c r="L69">
        <v>7</v>
      </c>
      <c r="M69">
        <v>206</v>
      </c>
      <c r="P69" s="4"/>
    </row>
    <row r="70" spans="1:16" x14ac:dyDescent="0.3">
      <c r="A70" t="s">
        <v>131</v>
      </c>
      <c r="B70" t="s">
        <v>189</v>
      </c>
      <c r="C70">
        <v>0</v>
      </c>
      <c r="D70">
        <v>6</v>
      </c>
      <c r="E70">
        <v>0</v>
      </c>
      <c r="F70">
        <v>0</v>
      </c>
      <c r="G70">
        <v>0</v>
      </c>
      <c r="H70">
        <v>0</v>
      </c>
      <c r="I70">
        <v>0</v>
      </c>
      <c r="J70">
        <v>0</v>
      </c>
      <c r="K70">
        <v>0</v>
      </c>
      <c r="L70">
        <v>0</v>
      </c>
      <c r="M70">
        <v>6</v>
      </c>
      <c r="P70" s="3"/>
    </row>
    <row r="71" spans="1:16" x14ac:dyDescent="0.3">
      <c r="A71" t="s">
        <v>131</v>
      </c>
      <c r="B71" t="s">
        <v>190</v>
      </c>
      <c r="C71">
        <v>0</v>
      </c>
      <c r="D71">
        <v>0</v>
      </c>
      <c r="E71">
        <v>69</v>
      </c>
      <c r="F71">
        <v>41</v>
      </c>
      <c r="G71">
        <v>53</v>
      </c>
      <c r="H71">
        <v>22</v>
      </c>
      <c r="I71">
        <v>64</v>
      </c>
      <c r="J71">
        <v>30</v>
      </c>
      <c r="K71">
        <v>14</v>
      </c>
      <c r="L71">
        <v>55</v>
      </c>
      <c r="M71">
        <v>348</v>
      </c>
      <c r="P71" s="4"/>
    </row>
    <row r="72" spans="1:16" x14ac:dyDescent="0.3">
      <c r="A72" t="s">
        <v>131</v>
      </c>
      <c r="B72" t="s">
        <v>191</v>
      </c>
      <c r="C72">
        <v>0</v>
      </c>
      <c r="D72">
        <v>80</v>
      </c>
      <c r="E72">
        <v>114</v>
      </c>
      <c r="F72">
        <v>69</v>
      </c>
      <c r="G72">
        <v>20</v>
      </c>
      <c r="H72">
        <v>15</v>
      </c>
      <c r="I72">
        <v>63</v>
      </c>
      <c r="J72">
        <v>39</v>
      </c>
      <c r="K72">
        <v>162</v>
      </c>
      <c r="L72">
        <v>327</v>
      </c>
      <c r="M72">
        <v>889</v>
      </c>
      <c r="P72" s="3"/>
    </row>
    <row r="73" spans="1:16" x14ac:dyDescent="0.3">
      <c r="A73" t="s">
        <v>131</v>
      </c>
      <c r="B73" t="s">
        <v>192</v>
      </c>
      <c r="C73">
        <v>0</v>
      </c>
      <c r="D73">
        <v>0</v>
      </c>
      <c r="E73">
        <v>1</v>
      </c>
      <c r="F73">
        <v>0</v>
      </c>
      <c r="G73">
        <v>0</v>
      </c>
      <c r="H73">
        <v>0</v>
      </c>
      <c r="I73">
        <v>0</v>
      </c>
      <c r="J73">
        <v>0</v>
      </c>
      <c r="K73">
        <v>0</v>
      </c>
      <c r="L73">
        <v>0</v>
      </c>
      <c r="M73">
        <v>1</v>
      </c>
      <c r="P73" s="4"/>
    </row>
    <row r="74" spans="1:16" x14ac:dyDescent="0.3">
      <c r="A74" t="s">
        <v>131</v>
      </c>
      <c r="B74" t="s">
        <v>193</v>
      </c>
      <c r="C74">
        <v>0</v>
      </c>
      <c r="D74">
        <v>0</v>
      </c>
      <c r="E74">
        <v>0</v>
      </c>
      <c r="F74">
        <v>0</v>
      </c>
      <c r="G74">
        <v>0</v>
      </c>
      <c r="H74">
        <v>25</v>
      </c>
      <c r="I74">
        <v>113</v>
      </c>
      <c r="J74">
        <v>92</v>
      </c>
      <c r="K74">
        <v>145</v>
      </c>
      <c r="L74">
        <v>55</v>
      </c>
      <c r="M74">
        <v>430</v>
      </c>
      <c r="P74" s="3"/>
    </row>
    <row r="75" spans="1:16" x14ac:dyDescent="0.3">
      <c r="A75" t="s">
        <v>131</v>
      </c>
      <c r="B75" t="s">
        <v>194</v>
      </c>
      <c r="C75">
        <v>0</v>
      </c>
      <c r="D75">
        <v>0</v>
      </c>
      <c r="E75">
        <v>0</v>
      </c>
      <c r="F75">
        <v>0</v>
      </c>
      <c r="G75">
        <v>427</v>
      </c>
      <c r="H75">
        <v>656</v>
      </c>
      <c r="I75">
        <v>981</v>
      </c>
      <c r="J75">
        <v>1159</v>
      </c>
      <c r="K75">
        <v>1910</v>
      </c>
      <c r="L75">
        <v>1060</v>
      </c>
      <c r="M75">
        <v>6193</v>
      </c>
      <c r="P75" s="4"/>
    </row>
    <row r="76" spans="1:16" x14ac:dyDescent="0.3">
      <c r="A76" t="s">
        <v>136</v>
      </c>
      <c r="B76" t="s">
        <v>195</v>
      </c>
      <c r="C76">
        <v>1</v>
      </c>
      <c r="D76">
        <v>0</v>
      </c>
      <c r="E76">
        <v>0</v>
      </c>
      <c r="F76">
        <v>1</v>
      </c>
      <c r="G76">
        <v>0</v>
      </c>
      <c r="H76">
        <v>0</v>
      </c>
      <c r="I76">
        <v>0</v>
      </c>
      <c r="J76">
        <v>0</v>
      </c>
      <c r="K76">
        <v>0</v>
      </c>
      <c r="L76">
        <v>0</v>
      </c>
      <c r="M76">
        <v>2</v>
      </c>
      <c r="P76" s="3"/>
    </row>
    <row r="77" spans="1:16" x14ac:dyDescent="0.3">
      <c r="A77" t="s">
        <v>133</v>
      </c>
      <c r="B77" t="s">
        <v>196</v>
      </c>
      <c r="C77">
        <v>0</v>
      </c>
      <c r="D77">
        <v>0</v>
      </c>
      <c r="E77">
        <v>0</v>
      </c>
      <c r="F77">
        <v>0</v>
      </c>
      <c r="G77">
        <v>0</v>
      </c>
      <c r="H77">
        <v>0</v>
      </c>
      <c r="I77">
        <v>0</v>
      </c>
      <c r="J77">
        <v>1497</v>
      </c>
      <c r="K77">
        <v>1574</v>
      </c>
      <c r="L77">
        <v>80</v>
      </c>
      <c r="M77">
        <v>3151</v>
      </c>
      <c r="P77" s="4"/>
    </row>
    <row r="78" spans="1:16" x14ac:dyDescent="0.3">
      <c r="A78" t="s">
        <v>133</v>
      </c>
      <c r="B78" t="s">
        <v>197</v>
      </c>
      <c r="C78">
        <v>0</v>
      </c>
      <c r="D78">
        <v>0</v>
      </c>
      <c r="E78">
        <v>0</v>
      </c>
      <c r="F78">
        <v>0</v>
      </c>
      <c r="G78">
        <v>1196</v>
      </c>
      <c r="H78">
        <v>4522</v>
      </c>
      <c r="I78">
        <v>12470</v>
      </c>
      <c r="J78">
        <v>79857</v>
      </c>
      <c r="K78">
        <v>42903</v>
      </c>
      <c r="L78">
        <v>857</v>
      </c>
      <c r="M78">
        <v>141805</v>
      </c>
      <c r="P78" s="3"/>
    </row>
    <row r="79" spans="1:16" x14ac:dyDescent="0.3">
      <c r="A79" t="s">
        <v>133</v>
      </c>
      <c r="B79" t="s">
        <v>198</v>
      </c>
      <c r="C79">
        <v>31</v>
      </c>
      <c r="D79">
        <v>0</v>
      </c>
      <c r="E79">
        <v>0</v>
      </c>
      <c r="F79">
        <v>0</v>
      </c>
      <c r="G79">
        <v>6</v>
      </c>
      <c r="H79">
        <v>153</v>
      </c>
      <c r="I79">
        <v>315</v>
      </c>
      <c r="J79">
        <v>2390</v>
      </c>
      <c r="K79">
        <v>8</v>
      </c>
      <c r="L79">
        <v>0</v>
      </c>
      <c r="M79">
        <v>2903</v>
      </c>
      <c r="P79" s="4"/>
    </row>
    <row r="80" spans="1:16" x14ac:dyDescent="0.3">
      <c r="A80" t="s">
        <v>131</v>
      </c>
      <c r="B80" t="s">
        <v>198</v>
      </c>
      <c r="C80">
        <v>0</v>
      </c>
      <c r="D80">
        <v>0</v>
      </c>
      <c r="E80">
        <v>44</v>
      </c>
      <c r="F80">
        <v>0</v>
      </c>
      <c r="G80">
        <v>0</v>
      </c>
      <c r="H80">
        <v>0</v>
      </c>
      <c r="I80">
        <v>0</v>
      </c>
      <c r="J80">
        <v>0</v>
      </c>
      <c r="K80">
        <v>0</v>
      </c>
      <c r="L80">
        <v>0</v>
      </c>
      <c r="M80">
        <v>44</v>
      </c>
      <c r="P80" s="3"/>
    </row>
    <row r="81" spans="1:16" x14ac:dyDescent="0.3">
      <c r="A81" t="s">
        <v>131</v>
      </c>
      <c r="B81" t="s">
        <v>199</v>
      </c>
      <c r="C81">
        <v>0</v>
      </c>
      <c r="D81">
        <v>0</v>
      </c>
      <c r="E81">
        <v>1</v>
      </c>
      <c r="F81">
        <v>0</v>
      </c>
      <c r="G81">
        <v>0</v>
      </c>
      <c r="H81">
        <v>0</v>
      </c>
      <c r="I81">
        <v>0</v>
      </c>
      <c r="J81">
        <v>0</v>
      </c>
      <c r="K81">
        <v>0</v>
      </c>
      <c r="L81">
        <v>0</v>
      </c>
      <c r="M81">
        <v>1</v>
      </c>
      <c r="P81" s="4"/>
    </row>
    <row r="82" spans="1:16" x14ac:dyDescent="0.3">
      <c r="A82" t="s">
        <v>136</v>
      </c>
      <c r="B82" t="s">
        <v>200</v>
      </c>
      <c r="C82">
        <v>1</v>
      </c>
      <c r="D82">
        <v>3</v>
      </c>
      <c r="E82">
        <v>0</v>
      </c>
      <c r="F82">
        <v>1</v>
      </c>
      <c r="G82">
        <v>0</v>
      </c>
      <c r="H82">
        <v>0</v>
      </c>
      <c r="I82">
        <v>0</v>
      </c>
      <c r="J82">
        <v>0</v>
      </c>
      <c r="K82">
        <v>0</v>
      </c>
      <c r="L82">
        <v>0</v>
      </c>
      <c r="M82">
        <v>5</v>
      </c>
      <c r="P82" s="3"/>
    </row>
    <row r="83" spans="1:16" x14ac:dyDescent="0.3">
      <c r="A83" t="s">
        <v>133</v>
      </c>
      <c r="B83" t="s">
        <v>201</v>
      </c>
      <c r="C83">
        <v>0</v>
      </c>
      <c r="D83">
        <v>0</v>
      </c>
      <c r="E83">
        <v>0</v>
      </c>
      <c r="F83">
        <v>0</v>
      </c>
      <c r="G83">
        <v>0</v>
      </c>
      <c r="H83">
        <v>0</v>
      </c>
      <c r="I83">
        <v>0</v>
      </c>
      <c r="J83">
        <v>6</v>
      </c>
      <c r="K83">
        <v>51</v>
      </c>
      <c r="L83">
        <v>22</v>
      </c>
      <c r="M83">
        <v>79</v>
      </c>
      <c r="P83" s="4"/>
    </row>
    <row r="84" spans="1:16" x14ac:dyDescent="0.3">
      <c r="A84" t="s">
        <v>133</v>
      </c>
      <c r="B84" t="s">
        <v>202</v>
      </c>
      <c r="C84">
        <v>0</v>
      </c>
      <c r="D84">
        <v>0</v>
      </c>
      <c r="E84">
        <v>0</v>
      </c>
      <c r="F84">
        <v>0</v>
      </c>
      <c r="G84">
        <v>0</v>
      </c>
      <c r="H84">
        <v>0</v>
      </c>
      <c r="I84">
        <v>0</v>
      </c>
      <c r="J84">
        <v>0</v>
      </c>
      <c r="K84">
        <v>8</v>
      </c>
      <c r="L84">
        <v>3</v>
      </c>
      <c r="M84">
        <v>11</v>
      </c>
      <c r="P84" s="3"/>
    </row>
    <row r="85" spans="1:16" x14ac:dyDescent="0.3">
      <c r="A85" t="s">
        <v>133</v>
      </c>
      <c r="B85" t="s">
        <v>203</v>
      </c>
      <c r="C85">
        <v>0</v>
      </c>
      <c r="D85">
        <v>0</v>
      </c>
      <c r="E85">
        <v>0</v>
      </c>
      <c r="F85">
        <v>0</v>
      </c>
      <c r="G85">
        <v>0</v>
      </c>
      <c r="H85">
        <v>0</v>
      </c>
      <c r="I85">
        <v>0</v>
      </c>
      <c r="J85">
        <v>0</v>
      </c>
      <c r="K85">
        <v>61</v>
      </c>
      <c r="L85">
        <v>39</v>
      </c>
      <c r="M85">
        <v>100</v>
      </c>
      <c r="P85" s="4"/>
    </row>
    <row r="86" spans="1:16" x14ac:dyDescent="0.3">
      <c r="A86" t="s">
        <v>133</v>
      </c>
      <c r="B86" t="s">
        <v>204</v>
      </c>
      <c r="C86">
        <v>0</v>
      </c>
      <c r="D86">
        <v>0</v>
      </c>
      <c r="E86">
        <v>0</v>
      </c>
      <c r="F86">
        <v>0</v>
      </c>
      <c r="G86">
        <v>0</v>
      </c>
      <c r="H86">
        <v>0</v>
      </c>
      <c r="I86">
        <v>0</v>
      </c>
      <c r="J86">
        <v>0</v>
      </c>
      <c r="K86">
        <v>1</v>
      </c>
      <c r="L86">
        <v>0</v>
      </c>
      <c r="M86">
        <v>1</v>
      </c>
      <c r="P86" s="3"/>
    </row>
    <row r="87" spans="1:16" x14ac:dyDescent="0.3">
      <c r="A87" t="s">
        <v>133</v>
      </c>
      <c r="B87" t="s">
        <v>205</v>
      </c>
      <c r="C87">
        <v>0</v>
      </c>
      <c r="D87">
        <v>0</v>
      </c>
      <c r="E87">
        <v>0</v>
      </c>
      <c r="F87">
        <v>0</v>
      </c>
      <c r="G87">
        <v>0</v>
      </c>
      <c r="H87">
        <v>0</v>
      </c>
      <c r="I87">
        <v>0</v>
      </c>
      <c r="J87">
        <v>0</v>
      </c>
      <c r="K87">
        <v>13</v>
      </c>
      <c r="L87">
        <v>8</v>
      </c>
      <c r="M87">
        <v>21</v>
      </c>
      <c r="P87" s="4"/>
    </row>
    <row r="88" spans="1:16" x14ac:dyDescent="0.3">
      <c r="A88" t="s">
        <v>131</v>
      </c>
      <c r="B88" t="s">
        <v>206</v>
      </c>
      <c r="C88">
        <v>0</v>
      </c>
      <c r="D88">
        <v>0</v>
      </c>
      <c r="E88">
        <v>0</v>
      </c>
      <c r="F88">
        <v>0</v>
      </c>
      <c r="G88">
        <v>0</v>
      </c>
      <c r="H88">
        <v>23</v>
      </c>
      <c r="I88">
        <v>11</v>
      </c>
      <c r="J88">
        <v>21</v>
      </c>
      <c r="K88">
        <v>61</v>
      </c>
      <c r="L88">
        <v>22</v>
      </c>
      <c r="M88">
        <v>138</v>
      </c>
      <c r="P88" s="3"/>
    </row>
    <row r="89" spans="1:16" x14ac:dyDescent="0.3">
      <c r="A89" t="s">
        <v>131</v>
      </c>
      <c r="B89" t="s">
        <v>207</v>
      </c>
      <c r="C89">
        <v>0</v>
      </c>
      <c r="D89">
        <v>0</v>
      </c>
      <c r="E89">
        <v>2</v>
      </c>
      <c r="F89">
        <v>3</v>
      </c>
      <c r="G89">
        <v>0</v>
      </c>
      <c r="H89">
        <v>0</v>
      </c>
      <c r="I89">
        <v>0</v>
      </c>
      <c r="J89">
        <v>0</v>
      </c>
      <c r="K89">
        <v>0</v>
      </c>
      <c r="L89">
        <v>0</v>
      </c>
      <c r="M89">
        <v>5</v>
      </c>
      <c r="P89" s="4"/>
    </row>
    <row r="90" spans="1:16" x14ac:dyDescent="0.3">
      <c r="A90" t="s">
        <v>131</v>
      </c>
      <c r="B90" t="s">
        <v>208</v>
      </c>
      <c r="C90">
        <v>0</v>
      </c>
      <c r="D90">
        <v>0</v>
      </c>
      <c r="E90">
        <v>0</v>
      </c>
      <c r="F90">
        <v>75</v>
      </c>
      <c r="G90">
        <v>118</v>
      </c>
      <c r="H90">
        <v>122</v>
      </c>
      <c r="I90">
        <v>79</v>
      </c>
      <c r="J90">
        <v>75</v>
      </c>
      <c r="K90">
        <v>74</v>
      </c>
      <c r="L90">
        <v>53</v>
      </c>
      <c r="M90">
        <v>596</v>
      </c>
      <c r="P90" s="3"/>
    </row>
    <row r="91" spans="1:16" x14ac:dyDescent="0.3">
      <c r="A91" t="s">
        <v>136</v>
      </c>
      <c r="B91" t="s">
        <v>208</v>
      </c>
      <c r="C91">
        <v>0</v>
      </c>
      <c r="D91">
        <v>0</v>
      </c>
      <c r="E91">
        <v>0</v>
      </c>
      <c r="F91">
        <v>1</v>
      </c>
      <c r="G91">
        <v>0</v>
      </c>
      <c r="H91">
        <v>0</v>
      </c>
      <c r="I91">
        <v>0</v>
      </c>
      <c r="J91">
        <v>0</v>
      </c>
      <c r="K91">
        <v>0</v>
      </c>
      <c r="L91">
        <v>0</v>
      </c>
      <c r="M91">
        <v>1</v>
      </c>
      <c r="P91" s="4"/>
    </row>
    <row r="92" spans="1:16" x14ac:dyDescent="0.3">
      <c r="A92" t="s">
        <v>131</v>
      </c>
      <c r="B92" t="s">
        <v>209</v>
      </c>
      <c r="C92">
        <v>0</v>
      </c>
      <c r="D92">
        <v>15</v>
      </c>
      <c r="E92">
        <v>72</v>
      </c>
      <c r="F92">
        <v>505</v>
      </c>
      <c r="G92">
        <v>287</v>
      </c>
      <c r="H92">
        <v>51</v>
      </c>
      <c r="I92">
        <v>111</v>
      </c>
      <c r="J92">
        <v>2</v>
      </c>
      <c r="K92">
        <v>5</v>
      </c>
      <c r="L92">
        <v>0</v>
      </c>
      <c r="M92">
        <v>1048</v>
      </c>
      <c r="P92" s="3"/>
    </row>
    <row r="93" spans="1:16" x14ac:dyDescent="0.3">
      <c r="A93" t="s">
        <v>131</v>
      </c>
      <c r="B93" t="s">
        <v>210</v>
      </c>
      <c r="C93">
        <v>0</v>
      </c>
      <c r="D93">
        <v>0</v>
      </c>
      <c r="E93">
        <v>0</v>
      </c>
      <c r="F93">
        <v>0</v>
      </c>
      <c r="G93">
        <v>0</v>
      </c>
      <c r="H93">
        <v>0</v>
      </c>
      <c r="I93">
        <v>0</v>
      </c>
      <c r="J93">
        <v>0</v>
      </c>
      <c r="K93">
        <v>0</v>
      </c>
      <c r="L93">
        <v>8</v>
      </c>
      <c r="M93">
        <v>8</v>
      </c>
      <c r="P93" s="4"/>
    </row>
    <row r="94" spans="1:16" x14ac:dyDescent="0.3">
      <c r="A94" t="s">
        <v>136</v>
      </c>
      <c r="B94" t="s">
        <v>211</v>
      </c>
      <c r="C94">
        <v>1</v>
      </c>
      <c r="D94">
        <v>8</v>
      </c>
      <c r="E94">
        <v>2</v>
      </c>
      <c r="F94">
        <v>0</v>
      </c>
      <c r="G94">
        <v>0</v>
      </c>
      <c r="H94">
        <v>0</v>
      </c>
      <c r="I94">
        <v>0</v>
      </c>
      <c r="J94">
        <v>0</v>
      </c>
      <c r="K94">
        <v>0</v>
      </c>
      <c r="L94">
        <v>0</v>
      </c>
      <c r="M94">
        <v>11</v>
      </c>
      <c r="P94" s="3"/>
    </row>
    <row r="95" spans="1:16" x14ac:dyDescent="0.3">
      <c r="A95" t="s">
        <v>131</v>
      </c>
      <c r="B95" t="s">
        <v>212</v>
      </c>
      <c r="C95">
        <v>0</v>
      </c>
      <c r="D95">
        <v>0</v>
      </c>
      <c r="E95">
        <v>25</v>
      </c>
      <c r="F95">
        <v>5</v>
      </c>
      <c r="G95">
        <v>0</v>
      </c>
      <c r="H95">
        <v>0</v>
      </c>
      <c r="I95">
        <v>0</v>
      </c>
      <c r="J95">
        <v>0</v>
      </c>
      <c r="K95">
        <v>0</v>
      </c>
      <c r="L95">
        <v>0</v>
      </c>
      <c r="M95">
        <v>30</v>
      </c>
      <c r="P95" s="4"/>
    </row>
    <row r="96" spans="1:16" x14ac:dyDescent="0.3">
      <c r="A96" t="s">
        <v>131</v>
      </c>
      <c r="B96" t="s">
        <v>213</v>
      </c>
      <c r="C96">
        <v>0</v>
      </c>
      <c r="D96">
        <v>10</v>
      </c>
      <c r="E96">
        <v>93</v>
      </c>
      <c r="F96">
        <v>182</v>
      </c>
      <c r="G96">
        <v>190</v>
      </c>
      <c r="H96">
        <v>83</v>
      </c>
      <c r="I96">
        <v>96</v>
      </c>
      <c r="J96">
        <v>86</v>
      </c>
      <c r="K96">
        <v>87</v>
      </c>
      <c r="L96">
        <v>30</v>
      </c>
      <c r="M96">
        <v>857</v>
      </c>
      <c r="P96" s="3"/>
    </row>
    <row r="97" spans="1:16" x14ac:dyDescent="0.3">
      <c r="A97" t="s">
        <v>131</v>
      </c>
      <c r="B97" t="s">
        <v>214</v>
      </c>
      <c r="C97">
        <v>0</v>
      </c>
      <c r="D97">
        <v>0</v>
      </c>
      <c r="E97">
        <v>5</v>
      </c>
      <c r="F97">
        <v>0</v>
      </c>
      <c r="G97">
        <v>0</v>
      </c>
      <c r="H97">
        <v>0</v>
      </c>
      <c r="I97">
        <v>0</v>
      </c>
      <c r="J97">
        <v>0</v>
      </c>
      <c r="K97">
        <v>0</v>
      </c>
      <c r="L97">
        <v>0</v>
      </c>
      <c r="M97">
        <v>5</v>
      </c>
      <c r="P97" s="4"/>
    </row>
    <row r="98" spans="1:16" x14ac:dyDescent="0.3">
      <c r="A98" t="s">
        <v>131</v>
      </c>
      <c r="B98" t="s">
        <v>215</v>
      </c>
      <c r="C98">
        <v>0</v>
      </c>
      <c r="D98">
        <v>0</v>
      </c>
      <c r="E98">
        <v>0</v>
      </c>
      <c r="F98">
        <v>78</v>
      </c>
      <c r="G98">
        <v>267</v>
      </c>
      <c r="H98">
        <v>119</v>
      </c>
      <c r="I98">
        <v>221</v>
      </c>
      <c r="J98">
        <v>399</v>
      </c>
      <c r="K98">
        <v>778</v>
      </c>
      <c r="L98">
        <v>395</v>
      </c>
      <c r="M98">
        <v>2257</v>
      </c>
      <c r="P98" s="3"/>
    </row>
    <row r="99" spans="1:16" x14ac:dyDescent="0.3">
      <c r="A99" t="s">
        <v>131</v>
      </c>
      <c r="B99" t="s">
        <v>216</v>
      </c>
      <c r="C99">
        <v>0</v>
      </c>
      <c r="D99">
        <v>0</v>
      </c>
      <c r="E99">
        <v>0</v>
      </c>
      <c r="F99">
        <v>153</v>
      </c>
      <c r="G99">
        <v>276</v>
      </c>
      <c r="H99">
        <v>191</v>
      </c>
      <c r="I99">
        <v>418</v>
      </c>
      <c r="J99">
        <v>379</v>
      </c>
      <c r="K99">
        <v>725</v>
      </c>
      <c r="L99">
        <v>685</v>
      </c>
      <c r="M99">
        <v>2827</v>
      </c>
      <c r="P99" s="4"/>
    </row>
    <row r="100" spans="1:16" x14ac:dyDescent="0.3">
      <c r="A100" t="s">
        <v>136</v>
      </c>
      <c r="B100" t="s">
        <v>217</v>
      </c>
      <c r="C100">
        <v>0</v>
      </c>
      <c r="D100">
        <v>1</v>
      </c>
      <c r="E100">
        <v>1</v>
      </c>
      <c r="F100">
        <v>0</v>
      </c>
      <c r="G100">
        <v>0</v>
      </c>
      <c r="H100">
        <v>0</v>
      </c>
      <c r="I100">
        <v>0</v>
      </c>
      <c r="J100">
        <v>0</v>
      </c>
      <c r="K100">
        <v>0</v>
      </c>
      <c r="L100">
        <v>0</v>
      </c>
      <c r="M100">
        <v>2</v>
      </c>
      <c r="P100" s="3"/>
    </row>
    <row r="101" spans="1:16" x14ac:dyDescent="0.3">
      <c r="A101" t="s">
        <v>136</v>
      </c>
      <c r="B101" t="s">
        <v>218</v>
      </c>
      <c r="C101">
        <v>1</v>
      </c>
      <c r="D101">
        <v>0</v>
      </c>
      <c r="E101">
        <v>0</v>
      </c>
      <c r="F101">
        <v>0</v>
      </c>
      <c r="G101">
        <v>0</v>
      </c>
      <c r="H101">
        <v>0</v>
      </c>
      <c r="I101">
        <v>0</v>
      </c>
      <c r="J101">
        <v>0</v>
      </c>
      <c r="K101">
        <v>0</v>
      </c>
      <c r="L101">
        <v>0</v>
      </c>
      <c r="M101">
        <v>1</v>
      </c>
      <c r="P101" s="4"/>
    </row>
    <row r="102" spans="1:16" x14ac:dyDescent="0.3">
      <c r="A102" t="s">
        <v>131</v>
      </c>
      <c r="B102" t="s">
        <v>219</v>
      </c>
      <c r="C102">
        <v>0</v>
      </c>
      <c r="D102">
        <v>0</v>
      </c>
      <c r="E102">
        <v>131</v>
      </c>
      <c r="F102">
        <v>153</v>
      </c>
      <c r="G102">
        <v>251</v>
      </c>
      <c r="H102">
        <v>110</v>
      </c>
      <c r="I102">
        <v>203</v>
      </c>
      <c r="J102">
        <v>564</v>
      </c>
      <c r="K102">
        <v>1077</v>
      </c>
      <c r="L102">
        <v>777</v>
      </c>
      <c r="M102">
        <v>3266</v>
      </c>
      <c r="P102" s="3"/>
    </row>
    <row r="103" spans="1:16" x14ac:dyDescent="0.3">
      <c r="A103" t="s">
        <v>131</v>
      </c>
      <c r="B103" t="s">
        <v>220</v>
      </c>
      <c r="C103">
        <v>0</v>
      </c>
      <c r="D103">
        <v>0</v>
      </c>
      <c r="E103">
        <v>0</v>
      </c>
      <c r="F103">
        <v>0</v>
      </c>
      <c r="G103">
        <v>0</v>
      </c>
      <c r="H103">
        <v>14</v>
      </c>
      <c r="I103">
        <v>24</v>
      </c>
      <c r="J103">
        <v>41</v>
      </c>
      <c r="K103">
        <v>61</v>
      </c>
      <c r="L103">
        <v>29</v>
      </c>
      <c r="M103">
        <v>169</v>
      </c>
      <c r="P103" s="4"/>
    </row>
    <row r="104" spans="1:16" x14ac:dyDescent="0.3">
      <c r="A104" t="s">
        <v>136</v>
      </c>
      <c r="B104" t="s">
        <v>220</v>
      </c>
      <c r="C104">
        <v>0</v>
      </c>
      <c r="D104">
        <v>0</v>
      </c>
      <c r="E104">
        <v>0</v>
      </c>
      <c r="F104">
        <v>0</v>
      </c>
      <c r="G104">
        <v>0</v>
      </c>
      <c r="H104">
        <v>0</v>
      </c>
      <c r="I104">
        <v>0</v>
      </c>
      <c r="J104">
        <v>1</v>
      </c>
      <c r="K104">
        <v>0</v>
      </c>
      <c r="L104">
        <v>0</v>
      </c>
      <c r="M104">
        <v>1</v>
      </c>
      <c r="P104" s="3"/>
    </row>
    <row r="105" spans="1:16" x14ac:dyDescent="0.3">
      <c r="A105" t="s">
        <v>131</v>
      </c>
      <c r="B105" t="s">
        <v>221</v>
      </c>
      <c r="C105">
        <v>0</v>
      </c>
      <c r="D105">
        <v>0</v>
      </c>
      <c r="E105">
        <v>1</v>
      </c>
      <c r="F105">
        <v>0</v>
      </c>
      <c r="G105">
        <v>0</v>
      </c>
      <c r="H105">
        <v>0</v>
      </c>
      <c r="I105">
        <v>0</v>
      </c>
      <c r="J105">
        <v>0</v>
      </c>
      <c r="K105">
        <v>0</v>
      </c>
      <c r="L105">
        <v>0</v>
      </c>
      <c r="M105">
        <v>1</v>
      </c>
      <c r="P105" s="4"/>
    </row>
    <row r="106" spans="1:16" x14ac:dyDescent="0.3">
      <c r="A106" t="s">
        <v>131</v>
      </c>
      <c r="B106" t="s">
        <v>222</v>
      </c>
      <c r="C106">
        <v>0</v>
      </c>
      <c r="D106">
        <v>0</v>
      </c>
      <c r="E106">
        <v>0</v>
      </c>
      <c r="F106">
        <v>12</v>
      </c>
      <c r="G106">
        <v>8</v>
      </c>
      <c r="H106">
        <v>0</v>
      </c>
      <c r="I106">
        <v>0</v>
      </c>
      <c r="J106">
        <v>0</v>
      </c>
      <c r="K106">
        <v>0</v>
      </c>
      <c r="L106">
        <v>0</v>
      </c>
      <c r="M106">
        <v>20</v>
      </c>
      <c r="P106" s="3"/>
    </row>
    <row r="107" spans="1:16" x14ac:dyDescent="0.3">
      <c r="A107" t="s">
        <v>131</v>
      </c>
      <c r="B107" t="s">
        <v>223</v>
      </c>
      <c r="C107">
        <v>0</v>
      </c>
      <c r="D107">
        <v>5</v>
      </c>
      <c r="E107">
        <v>195</v>
      </c>
      <c r="F107">
        <v>214</v>
      </c>
      <c r="G107">
        <v>99</v>
      </c>
      <c r="H107">
        <v>41</v>
      </c>
      <c r="I107">
        <v>31</v>
      </c>
      <c r="J107">
        <v>14</v>
      </c>
      <c r="K107">
        <v>0</v>
      </c>
      <c r="L107">
        <v>0</v>
      </c>
      <c r="M107">
        <v>599</v>
      </c>
      <c r="P107" s="4"/>
    </row>
    <row r="108" spans="1:16" x14ac:dyDescent="0.3">
      <c r="A108" t="s">
        <v>131</v>
      </c>
      <c r="B108" t="s">
        <v>224</v>
      </c>
      <c r="C108">
        <v>0</v>
      </c>
      <c r="D108">
        <v>0</v>
      </c>
      <c r="E108">
        <v>29</v>
      </c>
      <c r="F108">
        <v>331</v>
      </c>
      <c r="G108">
        <v>308</v>
      </c>
      <c r="H108">
        <v>185</v>
      </c>
      <c r="I108">
        <v>373</v>
      </c>
      <c r="J108">
        <v>344</v>
      </c>
      <c r="K108">
        <v>590</v>
      </c>
      <c r="L108">
        <v>76</v>
      </c>
      <c r="M108">
        <v>2236</v>
      </c>
      <c r="P108" s="3"/>
    </row>
    <row r="109" spans="1:16" x14ac:dyDescent="0.3">
      <c r="A109" t="s">
        <v>131</v>
      </c>
      <c r="B109" t="s">
        <v>225</v>
      </c>
      <c r="C109">
        <v>0</v>
      </c>
      <c r="D109">
        <v>0</v>
      </c>
      <c r="E109">
        <v>1</v>
      </c>
      <c r="F109">
        <v>64</v>
      </c>
      <c r="G109">
        <v>393</v>
      </c>
      <c r="H109">
        <v>825</v>
      </c>
      <c r="I109">
        <v>1276</v>
      </c>
      <c r="J109">
        <v>2782</v>
      </c>
      <c r="K109">
        <v>3958</v>
      </c>
      <c r="L109">
        <v>1925</v>
      </c>
      <c r="M109">
        <v>11224</v>
      </c>
      <c r="P109" s="4"/>
    </row>
    <row r="110" spans="1:16" x14ac:dyDescent="0.3">
      <c r="A110" t="s">
        <v>136</v>
      </c>
      <c r="B110" t="s">
        <v>225</v>
      </c>
      <c r="C110">
        <v>0</v>
      </c>
      <c r="D110">
        <v>0</v>
      </c>
      <c r="E110">
        <v>0</v>
      </c>
      <c r="F110">
        <v>0</v>
      </c>
      <c r="G110">
        <v>0</v>
      </c>
      <c r="H110">
        <v>0</v>
      </c>
      <c r="I110">
        <v>1</v>
      </c>
      <c r="J110">
        <v>3</v>
      </c>
      <c r="K110">
        <v>0</v>
      </c>
      <c r="L110">
        <v>0</v>
      </c>
      <c r="M110">
        <v>4</v>
      </c>
      <c r="P110" s="3"/>
    </row>
    <row r="111" spans="1:16" x14ac:dyDescent="0.3">
      <c r="A111" t="s">
        <v>131</v>
      </c>
      <c r="B111" t="s">
        <v>226</v>
      </c>
      <c r="C111">
        <v>0</v>
      </c>
      <c r="D111">
        <v>0</v>
      </c>
      <c r="E111">
        <v>0</v>
      </c>
      <c r="F111">
        <v>0</v>
      </c>
      <c r="G111">
        <v>0</v>
      </c>
      <c r="H111">
        <v>0</v>
      </c>
      <c r="I111">
        <v>0</v>
      </c>
      <c r="J111">
        <v>0</v>
      </c>
      <c r="K111">
        <v>0</v>
      </c>
      <c r="L111">
        <v>1</v>
      </c>
      <c r="M111">
        <v>1</v>
      </c>
      <c r="P111" s="4"/>
    </row>
    <row r="112" spans="1:16" x14ac:dyDescent="0.3">
      <c r="A112" t="s">
        <v>131</v>
      </c>
      <c r="B112" t="s">
        <v>227</v>
      </c>
      <c r="C112">
        <v>0</v>
      </c>
      <c r="D112">
        <v>0</v>
      </c>
      <c r="E112">
        <v>5</v>
      </c>
      <c r="F112">
        <v>21</v>
      </c>
      <c r="G112">
        <v>2</v>
      </c>
      <c r="H112">
        <v>7</v>
      </c>
      <c r="I112">
        <v>35</v>
      </c>
      <c r="J112">
        <v>61</v>
      </c>
      <c r="K112">
        <v>86</v>
      </c>
      <c r="L112">
        <v>126</v>
      </c>
      <c r="M112">
        <v>343</v>
      </c>
      <c r="P112" s="3"/>
    </row>
    <row r="113" spans="1:16" x14ac:dyDescent="0.3">
      <c r="A113" t="s">
        <v>131</v>
      </c>
      <c r="B113" t="s">
        <v>228</v>
      </c>
      <c r="C113">
        <v>0</v>
      </c>
      <c r="D113">
        <v>0</v>
      </c>
      <c r="E113">
        <v>0</v>
      </c>
      <c r="F113">
        <v>0</v>
      </c>
      <c r="G113">
        <v>0</v>
      </c>
      <c r="H113">
        <v>0</v>
      </c>
      <c r="I113">
        <v>0</v>
      </c>
      <c r="J113">
        <v>0</v>
      </c>
      <c r="K113">
        <v>6</v>
      </c>
      <c r="L113">
        <v>2</v>
      </c>
      <c r="M113">
        <v>8</v>
      </c>
      <c r="P113" s="4"/>
    </row>
    <row r="114" spans="1:16" x14ac:dyDescent="0.3">
      <c r="A114" t="s">
        <v>131</v>
      </c>
      <c r="B114" t="s">
        <v>229</v>
      </c>
      <c r="C114">
        <v>0</v>
      </c>
      <c r="D114">
        <v>0</v>
      </c>
      <c r="E114">
        <v>0</v>
      </c>
      <c r="F114">
        <v>0</v>
      </c>
      <c r="G114">
        <v>0</v>
      </c>
      <c r="H114">
        <v>0</v>
      </c>
      <c r="I114">
        <v>0</v>
      </c>
      <c r="J114">
        <v>0</v>
      </c>
      <c r="K114">
        <v>294</v>
      </c>
      <c r="L114">
        <v>828</v>
      </c>
      <c r="M114">
        <v>1122</v>
      </c>
      <c r="P114" s="3"/>
    </row>
    <row r="115" spans="1:16" x14ac:dyDescent="0.3">
      <c r="A115" t="s">
        <v>131</v>
      </c>
      <c r="B115" t="s">
        <v>230</v>
      </c>
      <c r="C115">
        <v>0</v>
      </c>
      <c r="D115">
        <v>0</v>
      </c>
      <c r="E115">
        <v>1</v>
      </c>
      <c r="F115">
        <v>0</v>
      </c>
      <c r="G115">
        <v>0</v>
      </c>
      <c r="H115">
        <v>0</v>
      </c>
      <c r="I115">
        <v>0</v>
      </c>
      <c r="J115">
        <v>0</v>
      </c>
      <c r="K115">
        <v>0</v>
      </c>
      <c r="L115">
        <v>0</v>
      </c>
      <c r="M115">
        <v>1</v>
      </c>
      <c r="P115" s="4"/>
    </row>
    <row r="116" spans="1:16" x14ac:dyDescent="0.3">
      <c r="A116" t="s">
        <v>136</v>
      </c>
      <c r="B116" t="s">
        <v>230</v>
      </c>
      <c r="C116">
        <v>0</v>
      </c>
      <c r="D116">
        <v>1</v>
      </c>
      <c r="E116">
        <v>0</v>
      </c>
      <c r="F116">
        <v>0</v>
      </c>
      <c r="G116">
        <v>0</v>
      </c>
      <c r="H116">
        <v>0</v>
      </c>
      <c r="I116">
        <v>0</v>
      </c>
      <c r="J116">
        <v>0</v>
      </c>
      <c r="K116">
        <v>0</v>
      </c>
      <c r="L116">
        <v>0</v>
      </c>
      <c r="M116">
        <v>1</v>
      </c>
      <c r="P116" s="3"/>
    </row>
    <row r="117" spans="1:16" x14ac:dyDescent="0.3">
      <c r="A117" t="s">
        <v>131</v>
      </c>
      <c r="B117" t="s">
        <v>231</v>
      </c>
      <c r="C117">
        <v>0</v>
      </c>
      <c r="D117">
        <v>0</v>
      </c>
      <c r="E117">
        <v>2</v>
      </c>
      <c r="F117">
        <v>16</v>
      </c>
      <c r="G117">
        <v>1</v>
      </c>
      <c r="H117">
        <v>4</v>
      </c>
      <c r="I117">
        <v>4</v>
      </c>
      <c r="J117">
        <v>1</v>
      </c>
      <c r="K117">
        <v>0</v>
      </c>
      <c r="L117">
        <v>1</v>
      </c>
      <c r="M117">
        <v>29</v>
      </c>
      <c r="P117" s="4"/>
    </row>
    <row r="118" spans="1:16" x14ac:dyDescent="0.3">
      <c r="A118" t="s">
        <v>131</v>
      </c>
      <c r="B118" t="s">
        <v>232</v>
      </c>
      <c r="C118">
        <v>0</v>
      </c>
      <c r="D118">
        <v>0</v>
      </c>
      <c r="E118">
        <v>0</v>
      </c>
      <c r="F118">
        <v>5</v>
      </c>
      <c r="G118">
        <v>0</v>
      </c>
      <c r="H118">
        <v>0</v>
      </c>
      <c r="I118">
        <v>0</v>
      </c>
      <c r="J118">
        <v>0</v>
      </c>
      <c r="K118">
        <v>0</v>
      </c>
      <c r="L118">
        <v>0</v>
      </c>
      <c r="M118">
        <v>5</v>
      </c>
      <c r="P118" s="3"/>
    </row>
    <row r="119" spans="1:16" x14ac:dyDescent="0.3">
      <c r="A119" t="s">
        <v>131</v>
      </c>
      <c r="B119" t="s">
        <v>233</v>
      </c>
      <c r="C119">
        <v>0</v>
      </c>
      <c r="D119">
        <v>0</v>
      </c>
      <c r="E119">
        <v>0</v>
      </c>
      <c r="F119">
        <v>7</v>
      </c>
      <c r="G119">
        <v>0</v>
      </c>
      <c r="H119">
        <v>0</v>
      </c>
      <c r="I119">
        <v>0</v>
      </c>
      <c r="J119">
        <v>2</v>
      </c>
      <c r="K119">
        <v>0</v>
      </c>
      <c r="L119">
        <v>0</v>
      </c>
      <c r="M119">
        <v>9</v>
      </c>
      <c r="P119" s="4"/>
    </row>
    <row r="120" spans="1:16" x14ac:dyDescent="0.3">
      <c r="A120" t="s">
        <v>133</v>
      </c>
      <c r="B120" t="s">
        <v>234</v>
      </c>
      <c r="C120">
        <v>0</v>
      </c>
      <c r="D120">
        <v>0</v>
      </c>
      <c r="E120">
        <v>0</v>
      </c>
      <c r="F120">
        <v>24</v>
      </c>
      <c r="G120">
        <v>2291</v>
      </c>
      <c r="H120">
        <v>3052</v>
      </c>
      <c r="I120">
        <v>15930</v>
      </c>
      <c r="J120">
        <v>51808</v>
      </c>
      <c r="K120">
        <v>104735</v>
      </c>
      <c r="L120">
        <v>58547</v>
      </c>
      <c r="M120">
        <v>236387</v>
      </c>
      <c r="P120" s="3"/>
    </row>
    <row r="121" spans="1:16" x14ac:dyDescent="0.3">
      <c r="A121" t="s">
        <v>131</v>
      </c>
      <c r="B121" t="s">
        <v>235</v>
      </c>
      <c r="C121">
        <v>0</v>
      </c>
      <c r="D121">
        <v>0</v>
      </c>
      <c r="E121">
        <v>0</v>
      </c>
      <c r="F121">
        <v>2</v>
      </c>
      <c r="G121">
        <v>0</v>
      </c>
      <c r="H121">
        <v>0</v>
      </c>
      <c r="I121">
        <v>0</v>
      </c>
      <c r="J121">
        <v>0</v>
      </c>
      <c r="K121">
        <v>0</v>
      </c>
      <c r="L121">
        <v>0</v>
      </c>
      <c r="M121">
        <v>2</v>
      </c>
      <c r="P121" s="4"/>
    </row>
    <row r="122" spans="1:16" x14ac:dyDescent="0.3">
      <c r="A122" t="s">
        <v>133</v>
      </c>
      <c r="B122" t="s">
        <v>236</v>
      </c>
      <c r="C122">
        <v>0</v>
      </c>
      <c r="D122">
        <v>0</v>
      </c>
      <c r="E122">
        <v>0</v>
      </c>
      <c r="F122">
        <v>0</v>
      </c>
      <c r="G122">
        <v>0</v>
      </c>
      <c r="H122">
        <v>2</v>
      </c>
      <c r="I122">
        <v>17</v>
      </c>
      <c r="J122">
        <v>3</v>
      </c>
      <c r="K122">
        <v>1</v>
      </c>
      <c r="L122">
        <v>0</v>
      </c>
      <c r="M122">
        <v>23</v>
      </c>
      <c r="P122" s="3"/>
    </row>
    <row r="123" spans="1:16" x14ac:dyDescent="0.3">
      <c r="A123" t="s">
        <v>131</v>
      </c>
      <c r="B123" t="s">
        <v>237</v>
      </c>
      <c r="C123">
        <v>0</v>
      </c>
      <c r="D123">
        <v>0</v>
      </c>
      <c r="E123">
        <v>4</v>
      </c>
      <c r="F123">
        <v>9</v>
      </c>
      <c r="G123">
        <v>5</v>
      </c>
      <c r="H123">
        <v>0</v>
      </c>
      <c r="I123">
        <v>0</v>
      </c>
      <c r="J123">
        <v>0</v>
      </c>
      <c r="K123">
        <v>0</v>
      </c>
      <c r="L123">
        <v>0</v>
      </c>
      <c r="M123">
        <v>18</v>
      </c>
      <c r="P123" s="4"/>
    </row>
    <row r="124" spans="1:16" x14ac:dyDescent="0.3">
      <c r="A124" t="s">
        <v>131</v>
      </c>
      <c r="B124" t="s">
        <v>238</v>
      </c>
      <c r="C124">
        <v>0</v>
      </c>
      <c r="D124">
        <v>397</v>
      </c>
      <c r="E124">
        <v>1023</v>
      </c>
      <c r="F124">
        <v>660</v>
      </c>
      <c r="G124">
        <v>492</v>
      </c>
      <c r="H124">
        <v>176</v>
      </c>
      <c r="I124">
        <v>132</v>
      </c>
      <c r="J124">
        <v>456</v>
      </c>
      <c r="K124">
        <v>760</v>
      </c>
      <c r="L124">
        <v>408</v>
      </c>
      <c r="M124">
        <v>4504</v>
      </c>
      <c r="P124" s="3"/>
    </row>
    <row r="125" spans="1:16" x14ac:dyDescent="0.3">
      <c r="A125" t="s">
        <v>131</v>
      </c>
      <c r="B125" t="s">
        <v>239</v>
      </c>
      <c r="C125">
        <v>35</v>
      </c>
      <c r="D125">
        <v>1299</v>
      </c>
      <c r="E125">
        <v>190</v>
      </c>
      <c r="F125">
        <v>31</v>
      </c>
      <c r="G125">
        <v>2</v>
      </c>
      <c r="H125">
        <v>12</v>
      </c>
      <c r="I125">
        <v>0</v>
      </c>
      <c r="J125">
        <v>0</v>
      </c>
      <c r="K125">
        <v>0</v>
      </c>
      <c r="L125">
        <v>0</v>
      </c>
      <c r="M125">
        <v>1569</v>
      </c>
      <c r="P125" s="4"/>
    </row>
    <row r="126" spans="1:16" x14ac:dyDescent="0.3">
      <c r="A126" t="s">
        <v>131</v>
      </c>
      <c r="B126" t="s">
        <v>240</v>
      </c>
      <c r="C126">
        <v>1</v>
      </c>
      <c r="D126">
        <v>99</v>
      </c>
      <c r="E126">
        <v>219</v>
      </c>
      <c r="F126">
        <v>492</v>
      </c>
      <c r="G126">
        <v>510</v>
      </c>
      <c r="H126">
        <v>438</v>
      </c>
      <c r="I126">
        <v>893</v>
      </c>
      <c r="J126">
        <v>2864</v>
      </c>
      <c r="K126">
        <v>5502</v>
      </c>
      <c r="L126">
        <v>3938</v>
      </c>
      <c r="M126">
        <v>14956</v>
      </c>
      <c r="P126" s="3"/>
    </row>
    <row r="127" spans="1:16" x14ac:dyDescent="0.3">
      <c r="A127" t="s">
        <v>136</v>
      </c>
      <c r="B127" t="s">
        <v>240</v>
      </c>
      <c r="C127">
        <v>0</v>
      </c>
      <c r="D127">
        <v>0</v>
      </c>
      <c r="E127">
        <v>14</v>
      </c>
      <c r="F127">
        <v>11</v>
      </c>
      <c r="G127">
        <v>0</v>
      </c>
      <c r="H127">
        <v>0</v>
      </c>
      <c r="I127">
        <v>0</v>
      </c>
      <c r="J127">
        <v>2</v>
      </c>
      <c r="K127">
        <v>5</v>
      </c>
      <c r="L127">
        <v>0</v>
      </c>
      <c r="M127">
        <v>32</v>
      </c>
      <c r="P127" s="4"/>
    </row>
    <row r="128" spans="1:16" x14ac:dyDescent="0.3">
      <c r="A128" t="s">
        <v>131</v>
      </c>
      <c r="B128" t="s">
        <v>241</v>
      </c>
      <c r="C128">
        <v>0</v>
      </c>
      <c r="D128">
        <v>0</v>
      </c>
      <c r="E128">
        <v>0</v>
      </c>
      <c r="F128">
        <v>0</v>
      </c>
      <c r="G128">
        <v>0</v>
      </c>
      <c r="H128">
        <v>0</v>
      </c>
      <c r="I128">
        <v>0</v>
      </c>
      <c r="J128">
        <v>0</v>
      </c>
      <c r="K128">
        <v>127</v>
      </c>
      <c r="L128">
        <v>308</v>
      </c>
      <c r="M128">
        <v>435</v>
      </c>
      <c r="P128" s="3"/>
    </row>
    <row r="129" spans="1:16" x14ac:dyDescent="0.3">
      <c r="A129" t="s">
        <v>133</v>
      </c>
      <c r="B129" t="s">
        <v>242</v>
      </c>
      <c r="C129">
        <v>0</v>
      </c>
      <c r="D129">
        <v>0</v>
      </c>
      <c r="E129">
        <v>0</v>
      </c>
      <c r="F129">
        <v>0</v>
      </c>
      <c r="G129">
        <v>0</v>
      </c>
      <c r="H129">
        <v>0</v>
      </c>
      <c r="I129">
        <v>0</v>
      </c>
      <c r="J129">
        <v>0</v>
      </c>
      <c r="K129">
        <v>105</v>
      </c>
      <c r="L129">
        <v>22</v>
      </c>
      <c r="M129">
        <v>127</v>
      </c>
      <c r="P129" s="4"/>
    </row>
    <row r="130" spans="1:16" x14ac:dyDescent="0.3">
      <c r="A130" t="s">
        <v>131</v>
      </c>
      <c r="B130" t="s">
        <v>243</v>
      </c>
      <c r="C130">
        <v>0</v>
      </c>
      <c r="D130">
        <v>1</v>
      </c>
      <c r="E130">
        <v>85</v>
      </c>
      <c r="F130">
        <v>336</v>
      </c>
      <c r="G130">
        <v>139</v>
      </c>
      <c r="H130">
        <v>204</v>
      </c>
      <c r="I130">
        <v>431</v>
      </c>
      <c r="J130">
        <v>943</v>
      </c>
      <c r="K130">
        <v>2335</v>
      </c>
      <c r="L130">
        <v>1593</v>
      </c>
      <c r="M130">
        <v>6067</v>
      </c>
      <c r="P130" s="3"/>
    </row>
    <row r="131" spans="1:16" x14ac:dyDescent="0.3">
      <c r="A131" t="s">
        <v>136</v>
      </c>
      <c r="B131" t="s">
        <v>244</v>
      </c>
      <c r="C131">
        <v>0</v>
      </c>
      <c r="D131">
        <v>0</v>
      </c>
      <c r="E131">
        <v>1</v>
      </c>
      <c r="F131">
        <v>0</v>
      </c>
      <c r="G131">
        <v>0</v>
      </c>
      <c r="H131">
        <v>0</v>
      </c>
      <c r="I131">
        <v>43</v>
      </c>
      <c r="J131">
        <v>115</v>
      </c>
      <c r="K131">
        <v>143</v>
      </c>
      <c r="L131">
        <v>100</v>
      </c>
      <c r="M131">
        <v>402</v>
      </c>
      <c r="P131" s="4"/>
    </row>
    <row r="132" spans="1:16" x14ac:dyDescent="0.3">
      <c r="A132" t="s">
        <v>131</v>
      </c>
      <c r="B132" t="s">
        <v>245</v>
      </c>
      <c r="C132">
        <v>0</v>
      </c>
      <c r="D132">
        <v>0</v>
      </c>
      <c r="E132">
        <v>0</v>
      </c>
      <c r="F132">
        <v>1</v>
      </c>
      <c r="G132">
        <v>0</v>
      </c>
      <c r="H132">
        <v>0</v>
      </c>
      <c r="I132">
        <v>0</v>
      </c>
      <c r="J132">
        <v>0</v>
      </c>
      <c r="K132">
        <v>0</v>
      </c>
      <c r="L132">
        <v>0</v>
      </c>
      <c r="M132">
        <v>1</v>
      </c>
      <c r="P132" s="3"/>
    </row>
    <row r="133" spans="1:16" x14ac:dyDescent="0.3">
      <c r="A133" t="s">
        <v>131</v>
      </c>
      <c r="B133" t="s">
        <v>246</v>
      </c>
      <c r="C133">
        <v>0</v>
      </c>
      <c r="D133">
        <v>0</v>
      </c>
      <c r="E133">
        <v>0</v>
      </c>
      <c r="F133">
        <v>0</v>
      </c>
      <c r="G133">
        <v>0</v>
      </c>
      <c r="H133">
        <v>0</v>
      </c>
      <c r="I133">
        <v>0</v>
      </c>
      <c r="J133">
        <v>21</v>
      </c>
      <c r="K133">
        <v>578</v>
      </c>
      <c r="L133">
        <v>524</v>
      </c>
      <c r="M133">
        <v>1123</v>
      </c>
      <c r="P133" s="4"/>
    </row>
    <row r="134" spans="1:16" x14ac:dyDescent="0.3">
      <c r="A134" t="s">
        <v>131</v>
      </c>
      <c r="B134" t="s">
        <v>247</v>
      </c>
      <c r="C134">
        <v>0</v>
      </c>
      <c r="D134">
        <v>0</v>
      </c>
      <c r="E134">
        <v>0</v>
      </c>
      <c r="F134">
        <v>206</v>
      </c>
      <c r="G134">
        <v>329</v>
      </c>
      <c r="H134">
        <v>124</v>
      </c>
      <c r="I134">
        <v>326</v>
      </c>
      <c r="J134">
        <v>485</v>
      </c>
      <c r="K134">
        <v>103</v>
      </c>
      <c r="L134">
        <v>2</v>
      </c>
      <c r="M134">
        <v>1575</v>
      </c>
      <c r="P134" s="3"/>
    </row>
    <row r="135" spans="1:16" x14ac:dyDescent="0.3">
      <c r="A135" t="s">
        <v>131</v>
      </c>
      <c r="B135" t="s">
        <v>248</v>
      </c>
      <c r="C135">
        <v>0</v>
      </c>
      <c r="D135">
        <v>0</v>
      </c>
      <c r="E135">
        <v>49</v>
      </c>
      <c r="F135">
        <v>216</v>
      </c>
      <c r="G135">
        <v>571</v>
      </c>
      <c r="H135">
        <v>328</v>
      </c>
      <c r="I135">
        <v>139</v>
      </c>
      <c r="J135">
        <v>64</v>
      </c>
      <c r="K135">
        <v>11</v>
      </c>
      <c r="L135">
        <v>1</v>
      </c>
      <c r="M135">
        <v>1379</v>
      </c>
      <c r="P135" s="4"/>
    </row>
    <row r="136" spans="1:16" x14ac:dyDescent="0.3">
      <c r="A136" t="s">
        <v>131</v>
      </c>
      <c r="B136" t="s">
        <v>249</v>
      </c>
      <c r="C136">
        <v>0</v>
      </c>
      <c r="D136">
        <v>0</v>
      </c>
      <c r="E136">
        <v>0</v>
      </c>
      <c r="F136">
        <v>54</v>
      </c>
      <c r="G136">
        <v>717</v>
      </c>
      <c r="H136">
        <v>517</v>
      </c>
      <c r="I136">
        <v>957</v>
      </c>
      <c r="J136">
        <v>1480</v>
      </c>
      <c r="K136">
        <v>2632</v>
      </c>
      <c r="L136">
        <v>1951</v>
      </c>
      <c r="M136">
        <v>8308</v>
      </c>
      <c r="P136" s="3"/>
    </row>
    <row r="137" spans="1:16" x14ac:dyDescent="0.3">
      <c r="A137" t="s">
        <v>136</v>
      </c>
      <c r="B137" t="s">
        <v>249</v>
      </c>
      <c r="C137">
        <v>0</v>
      </c>
      <c r="D137">
        <v>0</v>
      </c>
      <c r="E137">
        <v>0</v>
      </c>
      <c r="F137">
        <v>0</v>
      </c>
      <c r="G137">
        <v>1</v>
      </c>
      <c r="H137">
        <v>0</v>
      </c>
      <c r="I137">
        <v>0</v>
      </c>
      <c r="J137">
        <v>0</v>
      </c>
      <c r="K137">
        <v>0</v>
      </c>
      <c r="L137">
        <v>0</v>
      </c>
      <c r="M137">
        <v>1</v>
      </c>
      <c r="P137" s="4"/>
    </row>
    <row r="138" spans="1:16" x14ac:dyDescent="0.3">
      <c r="A138" t="s">
        <v>131</v>
      </c>
      <c r="B138" t="s">
        <v>250</v>
      </c>
      <c r="C138">
        <v>0</v>
      </c>
      <c r="D138">
        <v>1</v>
      </c>
      <c r="E138">
        <v>17</v>
      </c>
      <c r="F138">
        <v>4</v>
      </c>
      <c r="G138">
        <v>1</v>
      </c>
      <c r="H138">
        <v>3</v>
      </c>
      <c r="I138">
        <v>13</v>
      </c>
      <c r="J138">
        <v>40</v>
      </c>
      <c r="K138">
        <v>10</v>
      </c>
      <c r="L138">
        <v>0</v>
      </c>
      <c r="M138">
        <v>89</v>
      </c>
      <c r="P138" s="3"/>
    </row>
    <row r="139" spans="1:16" x14ac:dyDescent="0.3">
      <c r="A139" t="s">
        <v>133</v>
      </c>
      <c r="B139" t="s">
        <v>251</v>
      </c>
      <c r="C139">
        <v>0</v>
      </c>
      <c r="D139">
        <v>0</v>
      </c>
      <c r="E139">
        <v>8</v>
      </c>
      <c r="F139">
        <v>37</v>
      </c>
      <c r="G139">
        <v>1</v>
      </c>
      <c r="H139">
        <v>0</v>
      </c>
      <c r="I139">
        <v>0</v>
      </c>
      <c r="J139">
        <v>0</v>
      </c>
      <c r="K139">
        <v>0</v>
      </c>
      <c r="L139">
        <v>0</v>
      </c>
      <c r="M139">
        <v>46</v>
      </c>
      <c r="P139" s="4"/>
    </row>
    <row r="140" spans="1:16" x14ac:dyDescent="0.3">
      <c r="A140" t="s">
        <v>131</v>
      </c>
      <c r="B140" t="s">
        <v>251</v>
      </c>
      <c r="C140">
        <v>0</v>
      </c>
      <c r="D140">
        <v>0</v>
      </c>
      <c r="E140">
        <v>71</v>
      </c>
      <c r="F140">
        <v>191</v>
      </c>
      <c r="G140">
        <v>342</v>
      </c>
      <c r="H140">
        <v>366</v>
      </c>
      <c r="I140">
        <v>470</v>
      </c>
      <c r="J140">
        <v>760</v>
      </c>
      <c r="K140">
        <v>784</v>
      </c>
      <c r="L140">
        <v>429</v>
      </c>
      <c r="M140">
        <v>3413</v>
      </c>
      <c r="P140" s="3"/>
    </row>
    <row r="141" spans="1:16" x14ac:dyDescent="0.3">
      <c r="A141" t="s">
        <v>136</v>
      </c>
      <c r="B141" t="s">
        <v>251</v>
      </c>
      <c r="C141">
        <v>0</v>
      </c>
      <c r="D141">
        <v>0</v>
      </c>
      <c r="E141">
        <v>0</v>
      </c>
      <c r="F141">
        <v>0</v>
      </c>
      <c r="G141">
        <v>0</v>
      </c>
      <c r="H141">
        <v>1</v>
      </c>
      <c r="I141">
        <v>0</v>
      </c>
      <c r="J141">
        <v>0</v>
      </c>
      <c r="K141">
        <v>0</v>
      </c>
      <c r="L141">
        <v>0</v>
      </c>
      <c r="M141">
        <v>1</v>
      </c>
      <c r="P141" s="4"/>
    </row>
    <row r="142" spans="1:16" x14ac:dyDescent="0.3">
      <c r="A142" t="s">
        <v>131</v>
      </c>
      <c r="B142" t="s">
        <v>252</v>
      </c>
      <c r="C142">
        <v>0</v>
      </c>
      <c r="D142">
        <v>0</v>
      </c>
      <c r="E142">
        <v>0</v>
      </c>
      <c r="F142">
        <v>0</v>
      </c>
      <c r="G142">
        <v>6</v>
      </c>
      <c r="H142">
        <v>0</v>
      </c>
      <c r="I142">
        <v>0</v>
      </c>
      <c r="J142">
        <v>0</v>
      </c>
      <c r="K142">
        <v>0</v>
      </c>
      <c r="L142">
        <v>0</v>
      </c>
      <c r="M142">
        <v>6</v>
      </c>
      <c r="P142" s="3"/>
    </row>
    <row r="143" spans="1:16" x14ac:dyDescent="0.3">
      <c r="A143" t="s">
        <v>133</v>
      </c>
      <c r="B143" t="s">
        <v>253</v>
      </c>
      <c r="C143">
        <v>0</v>
      </c>
      <c r="D143">
        <v>0</v>
      </c>
      <c r="E143">
        <v>0</v>
      </c>
      <c r="F143">
        <v>0</v>
      </c>
      <c r="G143">
        <v>0</v>
      </c>
      <c r="H143">
        <v>2</v>
      </c>
      <c r="I143">
        <v>0</v>
      </c>
      <c r="J143">
        <v>132</v>
      </c>
      <c r="K143">
        <v>112</v>
      </c>
      <c r="L143">
        <v>25</v>
      </c>
      <c r="M143">
        <v>271</v>
      </c>
      <c r="P143" s="4"/>
    </row>
    <row r="144" spans="1:16" x14ac:dyDescent="0.3">
      <c r="A144" t="s">
        <v>131</v>
      </c>
      <c r="B144" t="s">
        <v>254</v>
      </c>
      <c r="C144">
        <v>0</v>
      </c>
      <c r="D144">
        <v>0</v>
      </c>
      <c r="E144">
        <v>0</v>
      </c>
      <c r="F144">
        <v>0</v>
      </c>
      <c r="G144">
        <v>0</v>
      </c>
      <c r="H144">
        <v>0</v>
      </c>
      <c r="I144">
        <v>0</v>
      </c>
      <c r="J144">
        <v>0</v>
      </c>
      <c r="K144">
        <v>28</v>
      </c>
      <c r="L144">
        <v>663</v>
      </c>
      <c r="M144">
        <v>691</v>
      </c>
      <c r="P144" s="3"/>
    </row>
    <row r="145" spans="1:16" x14ac:dyDescent="0.3">
      <c r="A145" t="s">
        <v>131</v>
      </c>
      <c r="B145" t="s">
        <v>255</v>
      </c>
      <c r="C145">
        <v>0</v>
      </c>
      <c r="D145">
        <v>2</v>
      </c>
      <c r="E145">
        <v>31</v>
      </c>
      <c r="F145">
        <v>6</v>
      </c>
      <c r="G145">
        <v>0</v>
      </c>
      <c r="H145">
        <v>0</v>
      </c>
      <c r="I145">
        <v>0</v>
      </c>
      <c r="J145">
        <v>0</v>
      </c>
      <c r="K145">
        <v>0</v>
      </c>
      <c r="L145">
        <v>0</v>
      </c>
      <c r="M145">
        <v>39</v>
      </c>
      <c r="P145" s="4"/>
    </row>
    <row r="146" spans="1:16" x14ac:dyDescent="0.3">
      <c r="A146" t="s">
        <v>131</v>
      </c>
      <c r="B146" t="s">
        <v>256</v>
      </c>
      <c r="C146">
        <v>0</v>
      </c>
      <c r="D146">
        <v>2</v>
      </c>
      <c r="E146">
        <v>53</v>
      </c>
      <c r="F146">
        <v>132</v>
      </c>
      <c r="G146">
        <v>145</v>
      </c>
      <c r="H146">
        <v>92</v>
      </c>
      <c r="I146">
        <v>39</v>
      </c>
      <c r="J146">
        <v>288</v>
      </c>
      <c r="K146">
        <v>1363</v>
      </c>
      <c r="L146">
        <v>515</v>
      </c>
      <c r="M146">
        <v>2629</v>
      </c>
      <c r="P146" s="3"/>
    </row>
    <row r="147" spans="1:16" x14ac:dyDescent="0.3">
      <c r="A147" t="s">
        <v>131</v>
      </c>
      <c r="B147" t="s">
        <v>257</v>
      </c>
      <c r="C147">
        <v>0</v>
      </c>
      <c r="D147">
        <v>0</v>
      </c>
      <c r="E147">
        <v>1</v>
      </c>
      <c r="F147">
        <v>0</v>
      </c>
      <c r="G147">
        <v>0</v>
      </c>
      <c r="H147">
        <v>0</v>
      </c>
      <c r="I147">
        <v>0</v>
      </c>
      <c r="J147">
        <v>0</v>
      </c>
      <c r="K147">
        <v>0</v>
      </c>
      <c r="L147">
        <v>0</v>
      </c>
      <c r="M147">
        <v>1</v>
      </c>
      <c r="P147" s="4"/>
    </row>
    <row r="148" spans="1:16" x14ac:dyDescent="0.3">
      <c r="A148" t="s">
        <v>131</v>
      </c>
      <c r="B148" t="s">
        <v>258</v>
      </c>
      <c r="C148">
        <v>0</v>
      </c>
      <c r="D148">
        <v>0</v>
      </c>
      <c r="E148">
        <v>0</v>
      </c>
      <c r="F148">
        <v>0</v>
      </c>
      <c r="G148">
        <v>0</v>
      </c>
      <c r="H148">
        <v>3</v>
      </c>
      <c r="I148">
        <v>7</v>
      </c>
      <c r="J148">
        <v>3</v>
      </c>
      <c r="K148">
        <v>40</v>
      </c>
      <c r="L148">
        <v>25</v>
      </c>
      <c r="M148">
        <v>78</v>
      </c>
      <c r="P148" s="3"/>
    </row>
    <row r="149" spans="1:16" x14ac:dyDescent="0.3">
      <c r="A149" t="s">
        <v>133</v>
      </c>
      <c r="B149" t="s">
        <v>259</v>
      </c>
      <c r="C149">
        <v>0</v>
      </c>
      <c r="D149">
        <v>0</v>
      </c>
      <c r="E149">
        <v>0</v>
      </c>
      <c r="F149">
        <v>0</v>
      </c>
      <c r="G149">
        <v>0</v>
      </c>
      <c r="H149">
        <v>0</v>
      </c>
      <c r="I149">
        <v>0</v>
      </c>
      <c r="J149">
        <v>0</v>
      </c>
      <c r="K149">
        <v>4</v>
      </c>
      <c r="L149">
        <v>3</v>
      </c>
      <c r="M149">
        <v>7</v>
      </c>
      <c r="P149" s="4"/>
    </row>
    <row r="150" spans="1:16" x14ac:dyDescent="0.3">
      <c r="A150" t="s">
        <v>133</v>
      </c>
      <c r="B150" t="s">
        <v>260</v>
      </c>
      <c r="C150">
        <v>161</v>
      </c>
      <c r="D150">
        <v>78</v>
      </c>
      <c r="E150">
        <v>43</v>
      </c>
      <c r="F150">
        <v>7</v>
      </c>
      <c r="G150">
        <v>7</v>
      </c>
      <c r="H150">
        <v>1243</v>
      </c>
      <c r="I150">
        <v>4633</v>
      </c>
      <c r="J150">
        <v>25318</v>
      </c>
      <c r="K150">
        <v>71940</v>
      </c>
      <c r="L150">
        <v>73698</v>
      </c>
      <c r="M150">
        <v>177128</v>
      </c>
      <c r="P150" s="3"/>
    </row>
    <row r="151" spans="1:16" x14ac:dyDescent="0.3">
      <c r="A151" t="s">
        <v>131</v>
      </c>
      <c r="B151" t="s">
        <v>260</v>
      </c>
      <c r="C151">
        <v>37</v>
      </c>
      <c r="D151">
        <v>58</v>
      </c>
      <c r="E151">
        <v>86</v>
      </c>
      <c r="F151">
        <v>113</v>
      </c>
      <c r="G151">
        <v>21</v>
      </c>
      <c r="H151">
        <v>19</v>
      </c>
      <c r="I151">
        <v>0</v>
      </c>
      <c r="J151">
        <v>0</v>
      </c>
      <c r="K151">
        <v>4574</v>
      </c>
      <c r="L151">
        <v>16461</v>
      </c>
      <c r="M151">
        <v>21369</v>
      </c>
      <c r="P151" s="4"/>
    </row>
    <row r="152" spans="1:16" x14ac:dyDescent="0.3">
      <c r="A152" t="s">
        <v>136</v>
      </c>
      <c r="B152" t="s">
        <v>260</v>
      </c>
      <c r="C152">
        <v>0</v>
      </c>
      <c r="D152">
        <v>0</v>
      </c>
      <c r="E152">
        <v>0</v>
      </c>
      <c r="F152">
        <v>0</v>
      </c>
      <c r="G152">
        <v>0</v>
      </c>
      <c r="H152">
        <v>0</v>
      </c>
      <c r="I152">
        <v>0</v>
      </c>
      <c r="J152">
        <v>0</v>
      </c>
      <c r="K152">
        <v>0</v>
      </c>
      <c r="L152">
        <v>1</v>
      </c>
      <c r="M152">
        <v>1</v>
      </c>
      <c r="P152" s="3"/>
    </row>
    <row r="153" spans="1:16" x14ac:dyDescent="0.3">
      <c r="A153" t="s">
        <v>131</v>
      </c>
      <c r="B153" t="s">
        <v>261</v>
      </c>
      <c r="C153">
        <v>0</v>
      </c>
      <c r="D153">
        <v>0</v>
      </c>
      <c r="E153">
        <v>71</v>
      </c>
      <c r="F153">
        <v>20</v>
      </c>
      <c r="G153">
        <v>0</v>
      </c>
      <c r="H153">
        <v>0</v>
      </c>
      <c r="I153">
        <v>0</v>
      </c>
      <c r="J153">
        <v>0</v>
      </c>
      <c r="K153">
        <v>0</v>
      </c>
      <c r="L153">
        <v>0</v>
      </c>
      <c r="M153">
        <v>91</v>
      </c>
      <c r="P153" s="4"/>
    </row>
    <row r="154" spans="1:16" x14ac:dyDescent="0.3">
      <c r="A154" t="s">
        <v>131</v>
      </c>
      <c r="B154" t="s">
        <v>262</v>
      </c>
      <c r="C154">
        <v>0</v>
      </c>
      <c r="D154">
        <v>0</v>
      </c>
      <c r="E154">
        <v>83</v>
      </c>
      <c r="F154">
        <v>283</v>
      </c>
      <c r="G154">
        <v>211</v>
      </c>
      <c r="H154">
        <v>70</v>
      </c>
      <c r="I154">
        <v>42</v>
      </c>
      <c r="J154">
        <v>195</v>
      </c>
      <c r="K154">
        <v>947</v>
      </c>
      <c r="L154">
        <v>575</v>
      </c>
      <c r="M154">
        <v>2406</v>
      </c>
      <c r="P154" s="3"/>
    </row>
    <row r="155" spans="1:16" x14ac:dyDescent="0.3">
      <c r="A155" t="s">
        <v>131</v>
      </c>
      <c r="B155" t="s">
        <v>263</v>
      </c>
      <c r="C155">
        <v>0</v>
      </c>
      <c r="D155">
        <v>0</v>
      </c>
      <c r="E155">
        <v>0</v>
      </c>
      <c r="F155">
        <v>0</v>
      </c>
      <c r="G155">
        <v>0</v>
      </c>
      <c r="H155">
        <v>0</v>
      </c>
      <c r="I155">
        <v>1</v>
      </c>
      <c r="J155">
        <v>0</v>
      </c>
      <c r="K155">
        <v>0</v>
      </c>
      <c r="L155">
        <v>0</v>
      </c>
      <c r="M155">
        <v>1</v>
      </c>
      <c r="P155" s="4"/>
    </row>
    <row r="156" spans="1:16" x14ac:dyDescent="0.3">
      <c r="A156" t="s">
        <v>131</v>
      </c>
      <c r="B156" t="s">
        <v>264</v>
      </c>
      <c r="C156">
        <v>0</v>
      </c>
      <c r="D156">
        <v>0</v>
      </c>
      <c r="E156">
        <v>21</v>
      </c>
      <c r="F156">
        <v>87</v>
      </c>
      <c r="G156">
        <v>94</v>
      </c>
      <c r="H156">
        <v>31</v>
      </c>
      <c r="I156">
        <v>86</v>
      </c>
      <c r="J156">
        <v>64</v>
      </c>
      <c r="K156">
        <v>105</v>
      </c>
      <c r="L156">
        <v>99</v>
      </c>
      <c r="M156">
        <v>587</v>
      </c>
      <c r="P156" s="3"/>
    </row>
    <row r="157" spans="1:16" x14ac:dyDescent="0.3">
      <c r="A157" t="s">
        <v>136</v>
      </c>
      <c r="B157" t="s">
        <v>264</v>
      </c>
      <c r="C157">
        <v>0</v>
      </c>
      <c r="D157">
        <v>0</v>
      </c>
      <c r="E157">
        <v>0</v>
      </c>
      <c r="F157">
        <v>0</v>
      </c>
      <c r="G157">
        <v>1</v>
      </c>
      <c r="H157">
        <v>0</v>
      </c>
      <c r="I157">
        <v>0</v>
      </c>
      <c r="J157">
        <v>0</v>
      </c>
      <c r="K157">
        <v>0</v>
      </c>
      <c r="L157">
        <v>0</v>
      </c>
      <c r="M157">
        <v>1</v>
      </c>
      <c r="P157" s="4"/>
    </row>
    <row r="158" spans="1:16" x14ac:dyDescent="0.3">
      <c r="A158" t="s">
        <v>131</v>
      </c>
      <c r="B158" t="s">
        <v>265</v>
      </c>
      <c r="C158">
        <v>0</v>
      </c>
      <c r="D158">
        <v>0</v>
      </c>
      <c r="E158">
        <v>0</v>
      </c>
      <c r="F158">
        <v>0</v>
      </c>
      <c r="G158">
        <v>0</v>
      </c>
      <c r="H158">
        <v>0</v>
      </c>
      <c r="I158">
        <v>0</v>
      </c>
      <c r="J158">
        <v>0</v>
      </c>
      <c r="K158">
        <v>7</v>
      </c>
      <c r="L158">
        <v>21</v>
      </c>
      <c r="M158">
        <v>28</v>
      </c>
      <c r="P158" s="3"/>
    </row>
    <row r="159" spans="1:16" x14ac:dyDescent="0.3">
      <c r="A159" t="s">
        <v>136</v>
      </c>
      <c r="B159" t="s">
        <v>266</v>
      </c>
      <c r="C159">
        <v>1</v>
      </c>
      <c r="D159">
        <v>0</v>
      </c>
      <c r="E159">
        <v>0</v>
      </c>
      <c r="F159">
        <v>0</v>
      </c>
      <c r="G159">
        <v>0</v>
      </c>
      <c r="H159">
        <v>0</v>
      </c>
      <c r="I159">
        <v>0</v>
      </c>
      <c r="J159">
        <v>0</v>
      </c>
      <c r="K159">
        <v>0</v>
      </c>
      <c r="L159">
        <v>0</v>
      </c>
      <c r="M159">
        <v>1</v>
      </c>
      <c r="P159" s="4"/>
    </row>
    <row r="160" spans="1:16" x14ac:dyDescent="0.3">
      <c r="A160" t="s">
        <v>131</v>
      </c>
      <c r="B160" t="s">
        <v>267</v>
      </c>
      <c r="C160">
        <v>0</v>
      </c>
      <c r="D160">
        <v>0</v>
      </c>
      <c r="E160">
        <v>0</v>
      </c>
      <c r="F160">
        <v>0</v>
      </c>
      <c r="G160">
        <v>0</v>
      </c>
      <c r="H160">
        <v>0</v>
      </c>
      <c r="I160">
        <v>13</v>
      </c>
      <c r="J160">
        <v>105</v>
      </c>
      <c r="K160">
        <v>146</v>
      </c>
      <c r="L160">
        <v>112</v>
      </c>
      <c r="M160">
        <v>376</v>
      </c>
      <c r="P160" s="3"/>
    </row>
    <row r="161" spans="1:16" x14ac:dyDescent="0.3">
      <c r="A161" t="s">
        <v>131</v>
      </c>
      <c r="B161" t="s">
        <v>268</v>
      </c>
      <c r="C161">
        <v>0</v>
      </c>
      <c r="D161">
        <v>2</v>
      </c>
      <c r="E161">
        <v>155</v>
      </c>
      <c r="F161">
        <v>295</v>
      </c>
      <c r="G161">
        <v>315</v>
      </c>
      <c r="H161">
        <v>178</v>
      </c>
      <c r="I161">
        <v>237</v>
      </c>
      <c r="J161">
        <v>333</v>
      </c>
      <c r="K161">
        <v>274</v>
      </c>
      <c r="L161">
        <v>159</v>
      </c>
      <c r="M161">
        <v>1948</v>
      </c>
      <c r="P161" s="4"/>
    </row>
    <row r="162" spans="1:16" x14ac:dyDescent="0.3">
      <c r="A162" t="s">
        <v>131</v>
      </c>
      <c r="B162" t="s">
        <v>269</v>
      </c>
      <c r="C162">
        <v>0</v>
      </c>
      <c r="D162">
        <v>0</v>
      </c>
      <c r="E162">
        <v>0</v>
      </c>
      <c r="F162">
        <v>0</v>
      </c>
      <c r="G162">
        <v>1</v>
      </c>
      <c r="H162">
        <v>0</v>
      </c>
      <c r="I162">
        <v>0</v>
      </c>
      <c r="J162">
        <v>0</v>
      </c>
      <c r="K162">
        <v>0</v>
      </c>
      <c r="L162">
        <v>0</v>
      </c>
      <c r="M162">
        <v>1</v>
      </c>
      <c r="P162" s="3"/>
    </row>
    <row r="163" spans="1:16" x14ac:dyDescent="0.3">
      <c r="A163" t="s">
        <v>131</v>
      </c>
      <c r="B163" t="s">
        <v>270</v>
      </c>
      <c r="C163">
        <v>669</v>
      </c>
      <c r="D163">
        <v>1321</v>
      </c>
      <c r="E163">
        <v>30</v>
      </c>
      <c r="F163">
        <v>1</v>
      </c>
      <c r="G163">
        <v>0</v>
      </c>
      <c r="H163">
        <v>0</v>
      </c>
      <c r="I163">
        <v>0</v>
      </c>
      <c r="J163">
        <v>0</v>
      </c>
      <c r="K163">
        <v>0</v>
      </c>
      <c r="L163">
        <v>0</v>
      </c>
      <c r="M163">
        <v>2021</v>
      </c>
      <c r="P163" s="4"/>
    </row>
    <row r="164" spans="1:16" x14ac:dyDescent="0.3">
      <c r="A164" t="s">
        <v>133</v>
      </c>
      <c r="B164" t="s">
        <v>271</v>
      </c>
      <c r="C164">
        <v>0</v>
      </c>
      <c r="D164">
        <v>0</v>
      </c>
      <c r="E164">
        <v>0</v>
      </c>
      <c r="F164">
        <v>0</v>
      </c>
      <c r="G164">
        <v>0</v>
      </c>
      <c r="H164">
        <v>0</v>
      </c>
      <c r="I164">
        <v>0</v>
      </c>
      <c r="J164">
        <v>516</v>
      </c>
      <c r="K164">
        <v>4139</v>
      </c>
      <c r="L164">
        <v>1836</v>
      </c>
      <c r="M164">
        <v>6491</v>
      </c>
      <c r="P164" s="3"/>
    </row>
    <row r="165" spans="1:16" x14ac:dyDescent="0.3">
      <c r="A165" t="s">
        <v>131</v>
      </c>
      <c r="B165" t="s">
        <v>272</v>
      </c>
      <c r="C165">
        <v>0</v>
      </c>
      <c r="D165">
        <v>0</v>
      </c>
      <c r="E165">
        <v>0</v>
      </c>
      <c r="F165">
        <v>0</v>
      </c>
      <c r="G165">
        <v>0</v>
      </c>
      <c r="H165">
        <v>0</v>
      </c>
      <c r="I165">
        <v>0</v>
      </c>
      <c r="J165">
        <v>0</v>
      </c>
      <c r="K165">
        <v>271</v>
      </c>
      <c r="L165">
        <v>1481</v>
      </c>
      <c r="M165">
        <v>1752</v>
      </c>
      <c r="P165" s="4"/>
    </row>
    <row r="166" spans="1:16" x14ac:dyDescent="0.3">
      <c r="A166" t="s">
        <v>131</v>
      </c>
      <c r="B166" t="s">
        <v>273</v>
      </c>
      <c r="C166">
        <v>0</v>
      </c>
      <c r="D166">
        <v>0</v>
      </c>
      <c r="E166">
        <v>0</v>
      </c>
      <c r="F166">
        <v>1</v>
      </c>
      <c r="G166">
        <v>0</v>
      </c>
      <c r="H166">
        <v>0</v>
      </c>
      <c r="I166">
        <v>0</v>
      </c>
      <c r="J166">
        <v>0</v>
      </c>
      <c r="K166">
        <v>0</v>
      </c>
      <c r="L166">
        <v>0</v>
      </c>
      <c r="M166">
        <v>1</v>
      </c>
      <c r="P166" s="3"/>
    </row>
    <row r="167" spans="1:16" x14ac:dyDescent="0.3">
      <c r="A167" t="s">
        <v>133</v>
      </c>
      <c r="B167" t="s">
        <v>274</v>
      </c>
      <c r="C167">
        <v>0</v>
      </c>
      <c r="D167">
        <v>0</v>
      </c>
      <c r="E167">
        <v>0</v>
      </c>
      <c r="F167">
        <v>0</v>
      </c>
      <c r="G167">
        <v>0</v>
      </c>
      <c r="H167">
        <v>567</v>
      </c>
      <c r="I167">
        <v>4758</v>
      </c>
      <c r="J167">
        <v>13130</v>
      </c>
      <c r="K167">
        <v>3005</v>
      </c>
      <c r="L167">
        <v>402</v>
      </c>
      <c r="M167">
        <v>21862</v>
      </c>
      <c r="P167" s="4"/>
    </row>
    <row r="168" spans="1:16" x14ac:dyDescent="0.3">
      <c r="A168" t="s">
        <v>131</v>
      </c>
      <c r="B168" t="s">
        <v>275</v>
      </c>
      <c r="C168">
        <v>0</v>
      </c>
      <c r="D168">
        <v>0</v>
      </c>
      <c r="E168">
        <v>13</v>
      </c>
      <c r="F168">
        <v>160</v>
      </c>
      <c r="G168">
        <v>122</v>
      </c>
      <c r="H168">
        <v>77</v>
      </c>
      <c r="I168">
        <v>91</v>
      </c>
      <c r="J168">
        <v>254</v>
      </c>
      <c r="K168">
        <v>382</v>
      </c>
      <c r="L168">
        <v>137</v>
      </c>
      <c r="M168">
        <v>1236</v>
      </c>
      <c r="P168" s="3"/>
    </row>
    <row r="169" spans="1:16" x14ac:dyDescent="0.3">
      <c r="A169" t="s">
        <v>133</v>
      </c>
      <c r="B169" t="s">
        <v>276</v>
      </c>
      <c r="C169">
        <v>0</v>
      </c>
      <c r="D169">
        <v>1</v>
      </c>
      <c r="E169">
        <v>0</v>
      </c>
      <c r="F169">
        <v>0</v>
      </c>
      <c r="G169">
        <v>0</v>
      </c>
      <c r="H169">
        <v>0</v>
      </c>
      <c r="I169">
        <v>0</v>
      </c>
      <c r="J169">
        <v>0</v>
      </c>
      <c r="K169">
        <v>0</v>
      </c>
      <c r="L169">
        <v>0</v>
      </c>
      <c r="M169">
        <v>1</v>
      </c>
      <c r="P169" s="4"/>
    </row>
    <row r="170" spans="1:16" x14ac:dyDescent="0.3">
      <c r="A170" t="s">
        <v>131</v>
      </c>
      <c r="B170" t="s">
        <v>277</v>
      </c>
      <c r="C170">
        <v>0</v>
      </c>
      <c r="D170">
        <v>57</v>
      </c>
      <c r="E170">
        <v>1501</v>
      </c>
      <c r="F170">
        <v>2044</v>
      </c>
      <c r="G170">
        <v>2312</v>
      </c>
      <c r="H170">
        <v>2155</v>
      </c>
      <c r="I170">
        <v>5022</v>
      </c>
      <c r="J170">
        <v>6447</v>
      </c>
      <c r="K170">
        <v>7902</v>
      </c>
      <c r="L170">
        <v>3545</v>
      </c>
      <c r="M170">
        <v>30985</v>
      </c>
      <c r="P170" s="3"/>
    </row>
    <row r="171" spans="1:16" x14ac:dyDescent="0.3">
      <c r="A171" t="s">
        <v>131</v>
      </c>
      <c r="B171" t="s">
        <v>278</v>
      </c>
      <c r="C171">
        <v>1</v>
      </c>
      <c r="D171">
        <v>147</v>
      </c>
      <c r="E171">
        <v>271</v>
      </c>
      <c r="F171">
        <v>11</v>
      </c>
      <c r="G171">
        <v>8</v>
      </c>
      <c r="H171">
        <v>50</v>
      </c>
      <c r="I171">
        <v>179</v>
      </c>
      <c r="J171">
        <v>141</v>
      </c>
      <c r="K171">
        <v>33</v>
      </c>
      <c r="L171">
        <v>0</v>
      </c>
      <c r="M171">
        <v>841</v>
      </c>
      <c r="P171" s="4"/>
    </row>
    <row r="172" spans="1:16" x14ac:dyDescent="0.3">
      <c r="A172" t="s">
        <v>131</v>
      </c>
      <c r="B172" t="s">
        <v>279</v>
      </c>
      <c r="C172">
        <v>0</v>
      </c>
      <c r="D172">
        <v>0</v>
      </c>
      <c r="E172">
        <v>2</v>
      </c>
      <c r="F172">
        <v>0</v>
      </c>
      <c r="G172">
        <v>0</v>
      </c>
      <c r="H172">
        <v>15</v>
      </c>
      <c r="I172">
        <v>21</v>
      </c>
      <c r="J172">
        <v>12</v>
      </c>
      <c r="K172">
        <v>12</v>
      </c>
      <c r="L172">
        <v>10</v>
      </c>
      <c r="M172">
        <v>72</v>
      </c>
      <c r="P172" s="3"/>
    </row>
    <row r="173" spans="1:16" x14ac:dyDescent="0.3">
      <c r="A173" t="s">
        <v>133</v>
      </c>
      <c r="B173" t="s">
        <v>280</v>
      </c>
      <c r="C173">
        <v>0</v>
      </c>
      <c r="D173">
        <v>0</v>
      </c>
      <c r="E173">
        <v>0</v>
      </c>
      <c r="F173">
        <v>0</v>
      </c>
      <c r="G173">
        <v>0</v>
      </c>
      <c r="H173">
        <v>0</v>
      </c>
      <c r="I173">
        <v>0</v>
      </c>
      <c r="J173">
        <v>1983</v>
      </c>
      <c r="K173">
        <v>11454</v>
      </c>
      <c r="L173">
        <v>10711</v>
      </c>
      <c r="M173">
        <v>24148</v>
      </c>
      <c r="P173" s="4"/>
    </row>
    <row r="174" spans="1:16" x14ac:dyDescent="0.3">
      <c r="A174" t="s">
        <v>131</v>
      </c>
      <c r="B174" t="s">
        <v>281</v>
      </c>
      <c r="C174">
        <v>0</v>
      </c>
      <c r="D174">
        <v>0</v>
      </c>
      <c r="E174">
        <v>0</v>
      </c>
      <c r="F174">
        <v>0</v>
      </c>
      <c r="G174">
        <v>0</v>
      </c>
      <c r="H174">
        <v>0</v>
      </c>
      <c r="I174">
        <v>6</v>
      </c>
      <c r="J174">
        <v>7</v>
      </c>
      <c r="K174">
        <v>106</v>
      </c>
      <c r="L174">
        <v>81</v>
      </c>
      <c r="M174">
        <v>200</v>
      </c>
      <c r="P174" s="3"/>
    </row>
    <row r="175" spans="1:16" x14ac:dyDescent="0.3">
      <c r="A175" t="s">
        <v>131</v>
      </c>
      <c r="B175" t="s">
        <v>282</v>
      </c>
      <c r="C175">
        <v>0</v>
      </c>
      <c r="D175">
        <v>0</v>
      </c>
      <c r="E175">
        <v>0</v>
      </c>
      <c r="F175">
        <v>0</v>
      </c>
      <c r="G175">
        <v>0</v>
      </c>
      <c r="H175">
        <v>0</v>
      </c>
      <c r="I175">
        <v>0</v>
      </c>
      <c r="J175">
        <v>0</v>
      </c>
      <c r="K175">
        <v>2</v>
      </c>
      <c r="L175">
        <v>0</v>
      </c>
      <c r="M175">
        <v>2</v>
      </c>
      <c r="P175" s="4"/>
    </row>
    <row r="176" spans="1:16" x14ac:dyDescent="0.3">
      <c r="A176" t="s">
        <v>131</v>
      </c>
      <c r="B176" t="s">
        <v>283</v>
      </c>
      <c r="C176">
        <v>0</v>
      </c>
      <c r="D176">
        <v>0</v>
      </c>
      <c r="E176">
        <v>1</v>
      </c>
      <c r="F176">
        <v>0</v>
      </c>
      <c r="G176">
        <v>2</v>
      </c>
      <c r="H176">
        <v>122</v>
      </c>
      <c r="I176">
        <v>456</v>
      </c>
      <c r="J176">
        <v>1591</v>
      </c>
      <c r="K176">
        <v>2682</v>
      </c>
      <c r="L176">
        <v>1398</v>
      </c>
      <c r="M176">
        <v>6252</v>
      </c>
      <c r="P176" s="3"/>
    </row>
    <row r="177" spans="1:16" x14ac:dyDescent="0.3">
      <c r="A177" t="s">
        <v>131</v>
      </c>
      <c r="B177" t="s">
        <v>284</v>
      </c>
      <c r="C177">
        <v>0</v>
      </c>
      <c r="D177">
        <v>0</v>
      </c>
      <c r="E177">
        <v>0</v>
      </c>
      <c r="F177">
        <v>0</v>
      </c>
      <c r="G177">
        <v>0</v>
      </c>
      <c r="H177">
        <v>23</v>
      </c>
      <c r="I177">
        <v>456</v>
      </c>
      <c r="J177">
        <v>1028</v>
      </c>
      <c r="K177">
        <v>1814</v>
      </c>
      <c r="L177">
        <v>1377</v>
      </c>
      <c r="M177">
        <v>4698</v>
      </c>
      <c r="P177" s="4"/>
    </row>
    <row r="178" spans="1:16" x14ac:dyDescent="0.3">
      <c r="A178" t="s">
        <v>131</v>
      </c>
      <c r="B178" t="s">
        <v>285</v>
      </c>
      <c r="C178">
        <v>0</v>
      </c>
      <c r="D178">
        <v>0</v>
      </c>
      <c r="E178">
        <v>30</v>
      </c>
      <c r="F178">
        <v>426</v>
      </c>
      <c r="G178">
        <v>565</v>
      </c>
      <c r="H178">
        <v>460</v>
      </c>
      <c r="I178">
        <v>227</v>
      </c>
      <c r="J178">
        <v>307</v>
      </c>
      <c r="K178">
        <v>673</v>
      </c>
      <c r="L178">
        <v>1040</v>
      </c>
      <c r="M178">
        <v>3728</v>
      </c>
      <c r="P178" s="3"/>
    </row>
    <row r="179" spans="1:16" x14ac:dyDescent="0.3">
      <c r="A179" t="s">
        <v>136</v>
      </c>
      <c r="B179" t="s">
        <v>285</v>
      </c>
      <c r="C179">
        <v>0</v>
      </c>
      <c r="D179">
        <v>0</v>
      </c>
      <c r="E179">
        <v>0</v>
      </c>
      <c r="F179">
        <v>0</v>
      </c>
      <c r="G179">
        <v>0</v>
      </c>
      <c r="H179">
        <v>0</v>
      </c>
      <c r="I179">
        <v>0</v>
      </c>
      <c r="J179">
        <v>0</v>
      </c>
      <c r="K179">
        <v>0</v>
      </c>
      <c r="L179">
        <v>1</v>
      </c>
      <c r="M179">
        <v>1</v>
      </c>
      <c r="P179" s="4"/>
    </row>
    <row r="180" spans="1:16" x14ac:dyDescent="0.3">
      <c r="A180" t="s">
        <v>131</v>
      </c>
      <c r="B180" t="s">
        <v>286</v>
      </c>
      <c r="C180">
        <v>0</v>
      </c>
      <c r="D180">
        <v>0</v>
      </c>
      <c r="E180">
        <v>18</v>
      </c>
      <c r="F180">
        <v>24</v>
      </c>
      <c r="G180">
        <v>10</v>
      </c>
      <c r="H180">
        <v>4</v>
      </c>
      <c r="I180">
        <v>4</v>
      </c>
      <c r="J180">
        <v>52</v>
      </c>
      <c r="K180">
        <v>72</v>
      </c>
      <c r="L180">
        <v>24</v>
      </c>
      <c r="M180">
        <v>208</v>
      </c>
      <c r="P180" s="3"/>
    </row>
    <row r="181" spans="1:16" x14ac:dyDescent="0.3">
      <c r="A181" t="s">
        <v>136</v>
      </c>
      <c r="B181" t="s">
        <v>287</v>
      </c>
      <c r="C181">
        <v>2</v>
      </c>
      <c r="D181">
        <v>8</v>
      </c>
      <c r="E181">
        <v>1</v>
      </c>
      <c r="F181">
        <v>4</v>
      </c>
      <c r="G181">
        <v>0</v>
      </c>
      <c r="H181">
        <v>0</v>
      </c>
      <c r="I181">
        <v>0</v>
      </c>
      <c r="J181">
        <v>0</v>
      </c>
      <c r="K181">
        <v>0</v>
      </c>
      <c r="L181">
        <v>0</v>
      </c>
      <c r="M181">
        <v>15</v>
      </c>
      <c r="P181" s="4"/>
    </row>
    <row r="182" spans="1:16" x14ac:dyDescent="0.3">
      <c r="A182" t="s">
        <v>133</v>
      </c>
      <c r="B182" t="s">
        <v>288</v>
      </c>
      <c r="C182">
        <v>0</v>
      </c>
      <c r="D182">
        <v>0</v>
      </c>
      <c r="E182">
        <v>0</v>
      </c>
      <c r="F182">
        <v>0</v>
      </c>
      <c r="G182">
        <v>0</v>
      </c>
      <c r="H182">
        <v>0</v>
      </c>
      <c r="I182">
        <v>8</v>
      </c>
      <c r="J182">
        <v>45</v>
      </c>
      <c r="K182">
        <v>65</v>
      </c>
      <c r="L182">
        <v>4</v>
      </c>
      <c r="M182">
        <v>122</v>
      </c>
      <c r="P182" s="3"/>
    </row>
    <row r="183" spans="1:16" x14ac:dyDescent="0.3">
      <c r="A183" t="s">
        <v>136</v>
      </c>
      <c r="B183" t="s">
        <v>289</v>
      </c>
      <c r="C183">
        <v>1</v>
      </c>
      <c r="D183">
        <v>0</v>
      </c>
      <c r="E183">
        <v>0</v>
      </c>
      <c r="F183">
        <v>5</v>
      </c>
      <c r="G183">
        <v>0</v>
      </c>
      <c r="H183">
        <v>0</v>
      </c>
      <c r="I183">
        <v>0</v>
      </c>
      <c r="J183">
        <v>163</v>
      </c>
      <c r="K183">
        <v>1309</v>
      </c>
      <c r="L183">
        <v>591</v>
      </c>
      <c r="M183">
        <v>2069</v>
      </c>
      <c r="P183" s="4"/>
    </row>
    <row r="184" spans="1:16" x14ac:dyDescent="0.3">
      <c r="A184" t="s">
        <v>133</v>
      </c>
      <c r="B184" t="s">
        <v>290</v>
      </c>
      <c r="C184">
        <v>0</v>
      </c>
      <c r="D184">
        <v>0</v>
      </c>
      <c r="E184">
        <v>0</v>
      </c>
      <c r="F184">
        <v>0</v>
      </c>
      <c r="G184">
        <v>0</v>
      </c>
      <c r="H184">
        <v>0</v>
      </c>
      <c r="I184">
        <v>0</v>
      </c>
      <c r="J184">
        <v>484</v>
      </c>
      <c r="K184">
        <v>207</v>
      </c>
      <c r="L184">
        <v>326</v>
      </c>
      <c r="M184">
        <v>1017</v>
      </c>
      <c r="P184" s="3"/>
    </row>
    <row r="185" spans="1:16" x14ac:dyDescent="0.3">
      <c r="A185" t="s">
        <v>133</v>
      </c>
      <c r="B185" t="s">
        <v>291</v>
      </c>
      <c r="C185">
        <v>0</v>
      </c>
      <c r="D185">
        <v>0</v>
      </c>
      <c r="E185">
        <v>0</v>
      </c>
      <c r="F185">
        <v>0</v>
      </c>
      <c r="G185">
        <v>0</v>
      </c>
      <c r="H185">
        <v>0</v>
      </c>
      <c r="I185">
        <v>0</v>
      </c>
      <c r="J185">
        <v>4514</v>
      </c>
      <c r="K185">
        <v>3565</v>
      </c>
      <c r="L185">
        <v>1598</v>
      </c>
      <c r="M185">
        <v>9677</v>
      </c>
      <c r="P185" s="4"/>
    </row>
    <row r="186" spans="1:16" x14ac:dyDescent="0.3">
      <c r="A186" t="s">
        <v>131</v>
      </c>
      <c r="B186" t="s">
        <v>292</v>
      </c>
      <c r="C186">
        <v>0</v>
      </c>
      <c r="D186">
        <v>43</v>
      </c>
      <c r="E186">
        <v>608</v>
      </c>
      <c r="F186">
        <v>713</v>
      </c>
      <c r="G186">
        <v>708</v>
      </c>
      <c r="H186">
        <v>413</v>
      </c>
      <c r="I186">
        <v>1708</v>
      </c>
      <c r="J186">
        <v>3702</v>
      </c>
      <c r="K186">
        <v>3695</v>
      </c>
      <c r="L186">
        <v>1853</v>
      </c>
      <c r="M186">
        <v>13443</v>
      </c>
      <c r="P186" s="3"/>
    </row>
    <row r="187" spans="1:16" x14ac:dyDescent="0.3">
      <c r="A187" t="s">
        <v>131</v>
      </c>
      <c r="B187" t="s">
        <v>293</v>
      </c>
      <c r="C187">
        <v>0</v>
      </c>
      <c r="D187">
        <v>0</v>
      </c>
      <c r="E187">
        <v>0</v>
      </c>
      <c r="F187">
        <v>0</v>
      </c>
      <c r="G187">
        <v>0</v>
      </c>
      <c r="H187">
        <v>9</v>
      </c>
      <c r="I187">
        <v>4</v>
      </c>
      <c r="J187">
        <v>7</v>
      </c>
      <c r="K187">
        <v>31</v>
      </c>
      <c r="L187">
        <v>1</v>
      </c>
      <c r="M187">
        <v>52</v>
      </c>
      <c r="P187" s="4"/>
    </row>
    <row r="188" spans="1:16" x14ac:dyDescent="0.3">
      <c r="A188" t="s">
        <v>133</v>
      </c>
      <c r="B188" t="s">
        <v>294</v>
      </c>
      <c r="C188">
        <v>1</v>
      </c>
      <c r="D188">
        <v>0</v>
      </c>
      <c r="E188">
        <v>0</v>
      </c>
      <c r="F188">
        <v>0</v>
      </c>
      <c r="G188">
        <v>0</v>
      </c>
      <c r="H188">
        <v>0</v>
      </c>
      <c r="I188">
        <v>0</v>
      </c>
      <c r="J188">
        <v>0</v>
      </c>
      <c r="K188">
        <v>0</v>
      </c>
      <c r="L188">
        <v>0</v>
      </c>
      <c r="M188">
        <v>1</v>
      </c>
      <c r="P188" s="3"/>
    </row>
    <row r="189" spans="1:16" x14ac:dyDescent="0.3">
      <c r="A189" t="s">
        <v>131</v>
      </c>
      <c r="B189" t="s">
        <v>295</v>
      </c>
      <c r="C189">
        <v>0</v>
      </c>
      <c r="D189">
        <v>0</v>
      </c>
      <c r="E189">
        <v>0</v>
      </c>
      <c r="F189">
        <v>0</v>
      </c>
      <c r="G189">
        <v>0</v>
      </c>
      <c r="H189">
        <v>0</v>
      </c>
      <c r="I189">
        <v>0</v>
      </c>
      <c r="J189">
        <v>0</v>
      </c>
      <c r="K189">
        <v>0</v>
      </c>
      <c r="L189">
        <v>41</v>
      </c>
      <c r="M189">
        <v>41</v>
      </c>
      <c r="P189" s="4"/>
    </row>
    <row r="190" spans="1:16" x14ac:dyDescent="0.3">
      <c r="A190" t="s">
        <v>131</v>
      </c>
      <c r="B190" t="s">
        <v>296</v>
      </c>
      <c r="C190">
        <v>0</v>
      </c>
      <c r="D190">
        <v>0</v>
      </c>
      <c r="E190">
        <v>21</v>
      </c>
      <c r="F190">
        <v>3</v>
      </c>
      <c r="G190">
        <v>0</v>
      </c>
      <c r="H190">
        <v>0</v>
      </c>
      <c r="I190">
        <v>0</v>
      </c>
      <c r="J190">
        <v>0</v>
      </c>
      <c r="K190">
        <v>0</v>
      </c>
      <c r="L190">
        <v>0</v>
      </c>
      <c r="M190">
        <v>24</v>
      </c>
      <c r="P190" s="3"/>
    </row>
    <row r="191" spans="1:16" x14ac:dyDescent="0.3">
      <c r="A191" t="s">
        <v>136</v>
      </c>
      <c r="B191" t="s">
        <v>297</v>
      </c>
      <c r="C191">
        <v>0</v>
      </c>
      <c r="D191">
        <v>0</v>
      </c>
      <c r="E191">
        <v>0</v>
      </c>
      <c r="F191">
        <v>0</v>
      </c>
      <c r="G191">
        <v>0</v>
      </c>
      <c r="H191">
        <v>0</v>
      </c>
      <c r="I191">
        <v>0</v>
      </c>
      <c r="J191">
        <v>0</v>
      </c>
      <c r="K191">
        <v>0</v>
      </c>
      <c r="L191">
        <v>2</v>
      </c>
      <c r="M191">
        <v>2</v>
      </c>
      <c r="P191" s="4"/>
    </row>
    <row r="192" spans="1:16" x14ac:dyDescent="0.3">
      <c r="A192" t="s">
        <v>136</v>
      </c>
      <c r="B192" t="s">
        <v>298</v>
      </c>
      <c r="C192">
        <v>0</v>
      </c>
      <c r="D192">
        <v>0</v>
      </c>
      <c r="E192">
        <v>0</v>
      </c>
      <c r="F192">
        <v>0</v>
      </c>
      <c r="G192">
        <v>0</v>
      </c>
      <c r="H192">
        <v>0</v>
      </c>
      <c r="I192">
        <v>2</v>
      </c>
      <c r="J192">
        <v>453</v>
      </c>
      <c r="K192">
        <v>2012</v>
      </c>
      <c r="L192">
        <v>1401</v>
      </c>
      <c r="M192">
        <v>3868</v>
      </c>
      <c r="P192" s="3"/>
    </row>
    <row r="193" spans="1:16" x14ac:dyDescent="0.3">
      <c r="A193" t="s">
        <v>131</v>
      </c>
      <c r="B193" t="s">
        <v>299</v>
      </c>
      <c r="C193">
        <v>0</v>
      </c>
      <c r="D193">
        <v>0</v>
      </c>
      <c r="E193">
        <v>0</v>
      </c>
      <c r="F193">
        <v>10</v>
      </c>
      <c r="G193">
        <v>16</v>
      </c>
      <c r="H193">
        <v>17</v>
      </c>
      <c r="I193">
        <v>21</v>
      </c>
      <c r="J193">
        <v>34</v>
      </c>
      <c r="K193">
        <v>50</v>
      </c>
      <c r="L193">
        <v>16</v>
      </c>
      <c r="M193">
        <v>164</v>
      </c>
      <c r="P193" s="4"/>
    </row>
    <row r="194" spans="1:16" x14ac:dyDescent="0.3">
      <c r="A194" t="s">
        <v>131</v>
      </c>
      <c r="B194" t="s">
        <v>300</v>
      </c>
      <c r="C194">
        <v>0</v>
      </c>
      <c r="D194">
        <v>24</v>
      </c>
      <c r="E194">
        <v>321</v>
      </c>
      <c r="F194">
        <v>44</v>
      </c>
      <c r="G194">
        <v>4</v>
      </c>
      <c r="H194">
        <v>0</v>
      </c>
      <c r="I194">
        <v>0</v>
      </c>
      <c r="J194">
        <v>0</v>
      </c>
      <c r="K194">
        <v>0</v>
      </c>
      <c r="L194">
        <v>0</v>
      </c>
      <c r="M194">
        <v>393</v>
      </c>
      <c r="P194" s="3"/>
    </row>
    <row r="195" spans="1:16" x14ac:dyDescent="0.3">
      <c r="A195" t="s">
        <v>136</v>
      </c>
      <c r="B195" t="s">
        <v>300</v>
      </c>
      <c r="C195">
        <v>0</v>
      </c>
      <c r="D195">
        <v>0</v>
      </c>
      <c r="E195">
        <v>1</v>
      </c>
      <c r="F195">
        <v>0</v>
      </c>
      <c r="G195">
        <v>0</v>
      </c>
      <c r="H195">
        <v>0</v>
      </c>
      <c r="I195">
        <v>0</v>
      </c>
      <c r="J195">
        <v>0</v>
      </c>
      <c r="K195">
        <v>0</v>
      </c>
      <c r="L195">
        <v>0</v>
      </c>
      <c r="M195">
        <v>1</v>
      </c>
      <c r="P195" s="4"/>
    </row>
    <row r="196" spans="1:16" x14ac:dyDescent="0.3">
      <c r="A196" t="s">
        <v>131</v>
      </c>
      <c r="B196" t="s">
        <v>301</v>
      </c>
      <c r="C196">
        <v>0</v>
      </c>
      <c r="D196">
        <v>9</v>
      </c>
      <c r="E196">
        <v>62</v>
      </c>
      <c r="F196">
        <v>0</v>
      </c>
      <c r="G196">
        <v>0</v>
      </c>
      <c r="H196">
        <v>0</v>
      </c>
      <c r="I196">
        <v>0</v>
      </c>
      <c r="J196">
        <v>0</v>
      </c>
      <c r="K196">
        <v>0</v>
      </c>
      <c r="L196">
        <v>0</v>
      </c>
      <c r="M196">
        <v>71</v>
      </c>
      <c r="P196" s="3"/>
    </row>
    <row r="197" spans="1:16" x14ac:dyDescent="0.3">
      <c r="A197" t="s">
        <v>131</v>
      </c>
      <c r="B197" t="s">
        <v>302</v>
      </c>
      <c r="C197">
        <v>0</v>
      </c>
      <c r="D197">
        <v>0</v>
      </c>
      <c r="E197">
        <v>0</v>
      </c>
      <c r="F197">
        <v>0</v>
      </c>
      <c r="G197">
        <v>0</v>
      </c>
      <c r="H197">
        <v>0</v>
      </c>
      <c r="I197">
        <v>0</v>
      </c>
      <c r="J197">
        <v>0</v>
      </c>
      <c r="K197">
        <v>0</v>
      </c>
      <c r="L197">
        <v>30</v>
      </c>
      <c r="M197">
        <v>30</v>
      </c>
      <c r="P197" s="4"/>
    </row>
    <row r="198" spans="1:16" x14ac:dyDescent="0.3">
      <c r="A198" t="s">
        <v>136</v>
      </c>
      <c r="B198" t="s">
        <v>302</v>
      </c>
      <c r="C198">
        <v>0</v>
      </c>
      <c r="D198">
        <v>0</v>
      </c>
      <c r="E198">
        <v>0</v>
      </c>
      <c r="F198">
        <v>0</v>
      </c>
      <c r="G198">
        <v>0</v>
      </c>
      <c r="H198">
        <v>0</v>
      </c>
      <c r="I198">
        <v>0</v>
      </c>
      <c r="J198">
        <v>0</v>
      </c>
      <c r="K198">
        <v>0</v>
      </c>
      <c r="L198">
        <v>1</v>
      </c>
      <c r="M198">
        <v>1</v>
      </c>
      <c r="P198" s="3"/>
    </row>
    <row r="199" spans="1:16" x14ac:dyDescent="0.3">
      <c r="A199" t="s">
        <v>131</v>
      </c>
      <c r="B199" t="s">
        <v>303</v>
      </c>
      <c r="C199">
        <v>0</v>
      </c>
      <c r="D199">
        <v>0</v>
      </c>
      <c r="E199">
        <v>0</v>
      </c>
      <c r="F199">
        <v>0</v>
      </c>
      <c r="G199">
        <v>0</v>
      </c>
      <c r="H199">
        <v>0</v>
      </c>
      <c r="I199">
        <v>0</v>
      </c>
      <c r="J199">
        <v>0</v>
      </c>
      <c r="K199">
        <v>3</v>
      </c>
      <c r="L199">
        <v>22</v>
      </c>
      <c r="M199">
        <v>25</v>
      </c>
      <c r="P199" s="4"/>
    </row>
    <row r="200" spans="1:16" x14ac:dyDescent="0.3">
      <c r="A200" t="s">
        <v>131</v>
      </c>
      <c r="B200" t="s">
        <v>304</v>
      </c>
      <c r="C200">
        <v>0</v>
      </c>
      <c r="D200">
        <v>0</v>
      </c>
      <c r="E200">
        <v>0</v>
      </c>
      <c r="F200">
        <v>17</v>
      </c>
      <c r="G200">
        <v>123</v>
      </c>
      <c r="H200">
        <v>99</v>
      </c>
      <c r="I200">
        <v>26</v>
      </c>
      <c r="J200">
        <v>7</v>
      </c>
      <c r="K200">
        <v>109</v>
      </c>
      <c r="L200">
        <v>357</v>
      </c>
      <c r="M200">
        <v>738</v>
      </c>
      <c r="P200" s="3"/>
    </row>
    <row r="201" spans="1:16" x14ac:dyDescent="0.3">
      <c r="A201" t="s">
        <v>131</v>
      </c>
      <c r="B201" t="s">
        <v>305</v>
      </c>
      <c r="C201">
        <v>0</v>
      </c>
      <c r="D201">
        <v>1</v>
      </c>
      <c r="E201">
        <v>1</v>
      </c>
      <c r="F201">
        <v>0</v>
      </c>
      <c r="G201">
        <v>0</v>
      </c>
      <c r="H201">
        <v>0</v>
      </c>
      <c r="I201">
        <v>0</v>
      </c>
      <c r="J201">
        <v>0</v>
      </c>
      <c r="K201">
        <v>0</v>
      </c>
      <c r="L201">
        <v>0</v>
      </c>
      <c r="M201">
        <v>2</v>
      </c>
      <c r="P201" s="4"/>
    </row>
    <row r="202" spans="1:16" x14ac:dyDescent="0.3">
      <c r="A202" t="s">
        <v>131</v>
      </c>
      <c r="B202" t="s">
        <v>306</v>
      </c>
      <c r="C202">
        <v>0</v>
      </c>
      <c r="D202">
        <v>0</v>
      </c>
      <c r="E202">
        <v>5</v>
      </c>
      <c r="F202">
        <v>0</v>
      </c>
      <c r="G202">
        <v>0</v>
      </c>
      <c r="H202">
        <v>0</v>
      </c>
      <c r="I202">
        <v>0</v>
      </c>
      <c r="J202">
        <v>0</v>
      </c>
      <c r="K202">
        <v>0</v>
      </c>
      <c r="L202">
        <v>0</v>
      </c>
      <c r="M202">
        <v>5</v>
      </c>
      <c r="P202" s="3"/>
    </row>
    <row r="203" spans="1:16" x14ac:dyDescent="0.3">
      <c r="A203" t="s">
        <v>131</v>
      </c>
      <c r="B203" t="s">
        <v>307</v>
      </c>
      <c r="C203">
        <v>0</v>
      </c>
      <c r="D203">
        <v>311</v>
      </c>
      <c r="E203">
        <v>536</v>
      </c>
      <c r="F203">
        <v>928</v>
      </c>
      <c r="G203">
        <v>687</v>
      </c>
      <c r="H203">
        <v>263</v>
      </c>
      <c r="I203">
        <v>213</v>
      </c>
      <c r="J203">
        <v>394</v>
      </c>
      <c r="K203">
        <v>874</v>
      </c>
      <c r="L203">
        <v>394</v>
      </c>
      <c r="M203">
        <v>4600</v>
      </c>
      <c r="P203" s="4"/>
    </row>
    <row r="204" spans="1:16" x14ac:dyDescent="0.3">
      <c r="A204" t="s">
        <v>131</v>
      </c>
      <c r="B204" t="s">
        <v>308</v>
      </c>
      <c r="C204">
        <v>0</v>
      </c>
      <c r="D204">
        <v>0</v>
      </c>
      <c r="E204">
        <v>0</v>
      </c>
      <c r="F204">
        <v>0</v>
      </c>
      <c r="G204">
        <v>0</v>
      </c>
      <c r="H204">
        <v>6</v>
      </c>
      <c r="I204">
        <v>9</v>
      </c>
      <c r="J204">
        <v>11</v>
      </c>
      <c r="K204">
        <v>0</v>
      </c>
      <c r="L204">
        <v>93</v>
      </c>
      <c r="M204">
        <v>119</v>
      </c>
      <c r="P204" s="3"/>
    </row>
    <row r="205" spans="1:16" x14ac:dyDescent="0.3">
      <c r="A205" t="s">
        <v>131</v>
      </c>
      <c r="B205" t="s">
        <v>309</v>
      </c>
      <c r="C205">
        <v>0</v>
      </c>
      <c r="D205">
        <v>2</v>
      </c>
      <c r="E205">
        <v>2</v>
      </c>
      <c r="F205">
        <v>0</v>
      </c>
      <c r="G205">
        <v>0</v>
      </c>
      <c r="H205">
        <v>0</v>
      </c>
      <c r="I205">
        <v>0</v>
      </c>
      <c r="J205">
        <v>0</v>
      </c>
      <c r="K205">
        <v>0</v>
      </c>
      <c r="L205">
        <v>0</v>
      </c>
      <c r="M205">
        <v>4</v>
      </c>
      <c r="P205" s="4"/>
    </row>
    <row r="206" spans="1:16" x14ac:dyDescent="0.3">
      <c r="A206" t="s">
        <v>131</v>
      </c>
      <c r="B206" t="s">
        <v>310</v>
      </c>
      <c r="C206">
        <v>0</v>
      </c>
      <c r="D206">
        <v>492</v>
      </c>
      <c r="E206">
        <v>1744</v>
      </c>
      <c r="F206">
        <v>3005</v>
      </c>
      <c r="G206">
        <v>4215</v>
      </c>
      <c r="H206">
        <v>2741</v>
      </c>
      <c r="I206">
        <v>6672</v>
      </c>
      <c r="J206">
        <v>13091</v>
      </c>
      <c r="K206">
        <v>14877</v>
      </c>
      <c r="L206">
        <v>6654</v>
      </c>
      <c r="M206">
        <v>53491</v>
      </c>
      <c r="P206" s="3"/>
    </row>
    <row r="207" spans="1:16" x14ac:dyDescent="0.3">
      <c r="A207" t="s">
        <v>136</v>
      </c>
      <c r="B207" t="s">
        <v>310</v>
      </c>
      <c r="C207">
        <v>0</v>
      </c>
      <c r="D207">
        <v>0</v>
      </c>
      <c r="E207">
        <v>0</v>
      </c>
      <c r="F207">
        <v>0</v>
      </c>
      <c r="G207">
        <v>0</v>
      </c>
      <c r="H207">
        <v>0</v>
      </c>
      <c r="I207">
        <v>2</v>
      </c>
      <c r="J207">
        <v>0</v>
      </c>
      <c r="K207">
        <v>0</v>
      </c>
      <c r="L207">
        <v>0</v>
      </c>
      <c r="M207">
        <v>2</v>
      </c>
      <c r="P207" s="4"/>
    </row>
    <row r="208" spans="1:16" x14ac:dyDescent="0.3">
      <c r="A208" t="s">
        <v>131</v>
      </c>
      <c r="B208" t="s">
        <v>311</v>
      </c>
      <c r="C208">
        <v>0</v>
      </c>
      <c r="D208">
        <v>0</v>
      </c>
      <c r="E208">
        <v>0</v>
      </c>
      <c r="F208">
        <v>0</v>
      </c>
      <c r="G208">
        <v>0</v>
      </c>
      <c r="H208">
        <v>0</v>
      </c>
      <c r="I208">
        <v>0</v>
      </c>
      <c r="J208">
        <v>0</v>
      </c>
      <c r="K208">
        <v>0</v>
      </c>
      <c r="L208">
        <v>37</v>
      </c>
      <c r="M208">
        <v>37</v>
      </c>
      <c r="P208" s="3"/>
    </row>
    <row r="209" spans="1:16" x14ac:dyDescent="0.3">
      <c r="A209" t="s">
        <v>133</v>
      </c>
      <c r="B209" t="s">
        <v>312</v>
      </c>
      <c r="C209">
        <v>0</v>
      </c>
      <c r="D209">
        <v>0</v>
      </c>
      <c r="E209">
        <v>0</v>
      </c>
      <c r="F209">
        <v>0</v>
      </c>
      <c r="G209">
        <v>0</v>
      </c>
      <c r="H209">
        <v>0</v>
      </c>
      <c r="I209">
        <v>133</v>
      </c>
      <c r="J209">
        <v>426</v>
      </c>
      <c r="K209">
        <v>501</v>
      </c>
      <c r="L209">
        <v>106</v>
      </c>
      <c r="M209">
        <v>1166</v>
      </c>
      <c r="P209" s="4"/>
    </row>
    <row r="210" spans="1:16" x14ac:dyDescent="0.3">
      <c r="A210" t="s">
        <v>131</v>
      </c>
      <c r="B210" t="s">
        <v>313</v>
      </c>
      <c r="C210">
        <v>0</v>
      </c>
      <c r="D210">
        <v>3</v>
      </c>
      <c r="E210">
        <v>8</v>
      </c>
      <c r="F210">
        <v>0</v>
      </c>
      <c r="G210">
        <v>0</v>
      </c>
      <c r="H210">
        <v>0</v>
      </c>
      <c r="I210">
        <v>0</v>
      </c>
      <c r="J210">
        <v>0</v>
      </c>
      <c r="K210">
        <v>0</v>
      </c>
      <c r="L210">
        <v>0</v>
      </c>
      <c r="M210">
        <v>11</v>
      </c>
      <c r="P210" s="3"/>
    </row>
    <row r="211" spans="1:16" x14ac:dyDescent="0.3">
      <c r="A211" t="s">
        <v>131</v>
      </c>
      <c r="B211" t="s">
        <v>314</v>
      </c>
      <c r="C211">
        <v>0</v>
      </c>
      <c r="D211">
        <v>0</v>
      </c>
      <c r="E211">
        <v>0</v>
      </c>
      <c r="F211">
        <v>0</v>
      </c>
      <c r="G211">
        <v>84</v>
      </c>
      <c r="H211">
        <v>56</v>
      </c>
      <c r="I211">
        <v>22</v>
      </c>
      <c r="J211">
        <v>6</v>
      </c>
      <c r="K211">
        <v>6</v>
      </c>
      <c r="L211">
        <v>0</v>
      </c>
      <c r="M211">
        <v>174</v>
      </c>
      <c r="P211" s="4"/>
    </row>
    <row r="212" spans="1:16" x14ac:dyDescent="0.3">
      <c r="A212" t="s">
        <v>131</v>
      </c>
      <c r="B212" t="s">
        <v>315</v>
      </c>
      <c r="C212">
        <v>0</v>
      </c>
      <c r="D212">
        <v>0</v>
      </c>
      <c r="E212">
        <v>1</v>
      </c>
      <c r="F212">
        <v>0</v>
      </c>
      <c r="G212">
        <v>0</v>
      </c>
      <c r="H212">
        <v>0</v>
      </c>
      <c r="I212">
        <v>0</v>
      </c>
      <c r="J212">
        <v>0</v>
      </c>
      <c r="K212">
        <v>0</v>
      </c>
      <c r="L212">
        <v>0</v>
      </c>
      <c r="M212">
        <v>1</v>
      </c>
      <c r="P212" s="3"/>
    </row>
    <row r="213" spans="1:16" x14ac:dyDescent="0.3">
      <c r="A213" t="s">
        <v>136</v>
      </c>
      <c r="B213" t="s">
        <v>315</v>
      </c>
      <c r="C213">
        <v>0</v>
      </c>
      <c r="D213">
        <v>0</v>
      </c>
      <c r="E213">
        <v>1</v>
      </c>
      <c r="F213">
        <v>1</v>
      </c>
      <c r="G213">
        <v>0</v>
      </c>
      <c r="H213">
        <v>0</v>
      </c>
      <c r="I213">
        <v>0</v>
      </c>
      <c r="J213">
        <v>0</v>
      </c>
      <c r="K213">
        <v>0</v>
      </c>
      <c r="L213">
        <v>0</v>
      </c>
      <c r="M213">
        <v>2</v>
      </c>
      <c r="P213" s="4"/>
    </row>
    <row r="214" spans="1:16" x14ac:dyDescent="0.3">
      <c r="A214" t="s">
        <v>131</v>
      </c>
      <c r="B214" t="s">
        <v>316</v>
      </c>
      <c r="C214">
        <v>0</v>
      </c>
      <c r="D214">
        <v>0</v>
      </c>
      <c r="E214">
        <v>0</v>
      </c>
      <c r="F214">
        <v>17</v>
      </c>
      <c r="G214">
        <v>121</v>
      </c>
      <c r="H214">
        <v>86</v>
      </c>
      <c r="I214">
        <v>118</v>
      </c>
      <c r="J214">
        <v>406</v>
      </c>
      <c r="K214">
        <v>571</v>
      </c>
      <c r="L214">
        <v>380</v>
      </c>
      <c r="M214">
        <v>1699</v>
      </c>
      <c r="P214" s="3"/>
    </row>
    <row r="215" spans="1:16" x14ac:dyDescent="0.3">
      <c r="A215" t="s">
        <v>131</v>
      </c>
      <c r="B215" t="s">
        <v>317</v>
      </c>
      <c r="C215">
        <v>0</v>
      </c>
      <c r="D215">
        <v>46</v>
      </c>
      <c r="E215">
        <v>160</v>
      </c>
      <c r="F215">
        <v>195</v>
      </c>
      <c r="G215">
        <v>80</v>
      </c>
      <c r="H215">
        <v>48</v>
      </c>
      <c r="I215">
        <v>62</v>
      </c>
      <c r="J215">
        <v>223</v>
      </c>
      <c r="K215">
        <v>290</v>
      </c>
      <c r="L215">
        <v>190</v>
      </c>
      <c r="M215">
        <v>1294</v>
      </c>
      <c r="P215" s="4"/>
    </row>
    <row r="216" spans="1:16" x14ac:dyDescent="0.3">
      <c r="A216" t="s">
        <v>133</v>
      </c>
      <c r="B216" t="s">
        <v>318</v>
      </c>
      <c r="C216">
        <v>0</v>
      </c>
      <c r="D216">
        <v>0</v>
      </c>
      <c r="E216">
        <v>0</v>
      </c>
      <c r="F216">
        <v>0</v>
      </c>
      <c r="G216">
        <v>0</v>
      </c>
      <c r="H216">
        <v>0</v>
      </c>
      <c r="I216">
        <v>0</v>
      </c>
      <c r="J216">
        <v>0</v>
      </c>
      <c r="K216">
        <v>4851</v>
      </c>
      <c r="L216">
        <v>4</v>
      </c>
      <c r="M216">
        <v>4855</v>
      </c>
      <c r="P216" s="3"/>
    </row>
    <row r="217" spans="1:16" x14ac:dyDescent="0.3">
      <c r="A217" t="s">
        <v>131</v>
      </c>
      <c r="B217" t="s">
        <v>319</v>
      </c>
      <c r="C217">
        <v>0</v>
      </c>
      <c r="D217">
        <v>6</v>
      </c>
      <c r="E217">
        <v>0</v>
      </c>
      <c r="F217">
        <v>0</v>
      </c>
      <c r="G217">
        <v>0</v>
      </c>
      <c r="H217">
        <v>0</v>
      </c>
      <c r="I217">
        <v>0</v>
      </c>
      <c r="J217">
        <v>0</v>
      </c>
      <c r="K217">
        <v>0</v>
      </c>
      <c r="L217">
        <v>0</v>
      </c>
      <c r="M217">
        <v>6</v>
      </c>
      <c r="P217" s="4"/>
    </row>
    <row r="218" spans="1:16" x14ac:dyDescent="0.3">
      <c r="A218" t="s">
        <v>133</v>
      </c>
      <c r="B218" t="s">
        <v>320</v>
      </c>
      <c r="C218">
        <v>0</v>
      </c>
      <c r="D218">
        <v>0</v>
      </c>
      <c r="E218">
        <v>0</v>
      </c>
      <c r="F218">
        <v>0</v>
      </c>
      <c r="G218">
        <v>0</v>
      </c>
      <c r="H218">
        <v>0</v>
      </c>
      <c r="I218">
        <v>0</v>
      </c>
      <c r="J218">
        <v>0</v>
      </c>
      <c r="K218">
        <v>135</v>
      </c>
      <c r="L218">
        <v>154</v>
      </c>
      <c r="M218">
        <v>289</v>
      </c>
      <c r="P218" s="3"/>
    </row>
    <row r="219" spans="1:16" x14ac:dyDescent="0.3">
      <c r="A219" t="s">
        <v>133</v>
      </c>
      <c r="B219" t="s">
        <v>321</v>
      </c>
      <c r="C219">
        <v>0</v>
      </c>
      <c r="D219">
        <v>0</v>
      </c>
      <c r="E219">
        <v>0</v>
      </c>
      <c r="F219">
        <v>0</v>
      </c>
      <c r="G219">
        <v>0</v>
      </c>
      <c r="H219">
        <v>0</v>
      </c>
      <c r="I219">
        <v>0</v>
      </c>
      <c r="J219">
        <v>0</v>
      </c>
      <c r="K219">
        <v>0</v>
      </c>
      <c r="L219">
        <v>10</v>
      </c>
      <c r="M219">
        <v>10</v>
      </c>
      <c r="P219" s="4"/>
    </row>
    <row r="220" spans="1:16" x14ac:dyDescent="0.3">
      <c r="A220" t="s">
        <v>131</v>
      </c>
      <c r="B220" t="s">
        <v>322</v>
      </c>
      <c r="C220">
        <v>0</v>
      </c>
      <c r="D220">
        <v>0</v>
      </c>
      <c r="E220">
        <v>0</v>
      </c>
      <c r="F220">
        <v>19</v>
      </c>
      <c r="G220">
        <v>4</v>
      </c>
      <c r="H220">
        <v>0</v>
      </c>
      <c r="I220">
        <v>0</v>
      </c>
      <c r="J220">
        <v>0</v>
      </c>
      <c r="K220">
        <v>0</v>
      </c>
      <c r="L220">
        <v>0</v>
      </c>
      <c r="M220">
        <v>23</v>
      </c>
      <c r="P220" s="3"/>
    </row>
    <row r="221" spans="1:16" x14ac:dyDescent="0.3">
      <c r="A221" t="s">
        <v>133</v>
      </c>
      <c r="B221" t="s">
        <v>323</v>
      </c>
      <c r="C221">
        <v>0</v>
      </c>
      <c r="D221">
        <v>0</v>
      </c>
      <c r="E221">
        <v>0</v>
      </c>
      <c r="F221">
        <v>0</v>
      </c>
      <c r="G221">
        <v>0</v>
      </c>
      <c r="H221">
        <v>0</v>
      </c>
      <c r="I221">
        <v>0</v>
      </c>
      <c r="J221">
        <v>0</v>
      </c>
      <c r="K221">
        <v>0</v>
      </c>
      <c r="L221">
        <v>1</v>
      </c>
      <c r="M221">
        <v>1</v>
      </c>
      <c r="P221" s="4"/>
    </row>
    <row r="222" spans="1:16" x14ac:dyDescent="0.3">
      <c r="A222" t="s">
        <v>133</v>
      </c>
      <c r="B222" t="s">
        <v>324</v>
      </c>
      <c r="C222">
        <v>0</v>
      </c>
      <c r="D222">
        <v>3</v>
      </c>
      <c r="E222">
        <v>0</v>
      </c>
      <c r="F222">
        <v>0</v>
      </c>
      <c r="G222">
        <v>0</v>
      </c>
      <c r="H222">
        <v>0</v>
      </c>
      <c r="I222">
        <v>0</v>
      </c>
      <c r="J222">
        <v>0</v>
      </c>
      <c r="K222">
        <v>0</v>
      </c>
      <c r="L222">
        <v>0</v>
      </c>
      <c r="M222">
        <v>3</v>
      </c>
      <c r="P222" s="3"/>
    </row>
    <row r="223" spans="1:16" x14ac:dyDescent="0.3">
      <c r="A223" t="s">
        <v>131</v>
      </c>
      <c r="B223" t="s">
        <v>325</v>
      </c>
      <c r="C223">
        <v>0</v>
      </c>
      <c r="D223">
        <v>0</v>
      </c>
      <c r="E223">
        <v>0</v>
      </c>
      <c r="F223">
        <v>0</v>
      </c>
      <c r="G223">
        <v>24</v>
      </c>
      <c r="H223">
        <v>26</v>
      </c>
      <c r="I223">
        <v>28</v>
      </c>
      <c r="J223">
        <v>36</v>
      </c>
      <c r="K223">
        <v>28</v>
      </c>
      <c r="L223">
        <v>8</v>
      </c>
      <c r="M223">
        <v>150</v>
      </c>
      <c r="P223" s="4"/>
    </row>
    <row r="224" spans="1:16" x14ac:dyDescent="0.3">
      <c r="A224" t="s">
        <v>131</v>
      </c>
      <c r="B224" t="s">
        <v>326</v>
      </c>
      <c r="C224">
        <v>0</v>
      </c>
      <c r="D224">
        <v>0</v>
      </c>
      <c r="E224">
        <v>132</v>
      </c>
      <c r="F224">
        <v>395</v>
      </c>
      <c r="G224">
        <v>429</v>
      </c>
      <c r="H224">
        <v>292</v>
      </c>
      <c r="I224">
        <v>586</v>
      </c>
      <c r="J224">
        <v>827</v>
      </c>
      <c r="K224">
        <v>930</v>
      </c>
      <c r="L224">
        <v>301</v>
      </c>
      <c r="M224">
        <v>3892</v>
      </c>
      <c r="P224" s="3"/>
    </row>
    <row r="225" spans="1:16" x14ac:dyDescent="0.3">
      <c r="A225" t="s">
        <v>131</v>
      </c>
      <c r="B225" t="s">
        <v>327</v>
      </c>
      <c r="C225">
        <v>0</v>
      </c>
      <c r="D225">
        <v>0</v>
      </c>
      <c r="E225">
        <v>0</v>
      </c>
      <c r="F225">
        <v>1</v>
      </c>
      <c r="G225">
        <v>0</v>
      </c>
      <c r="H225">
        <v>0</v>
      </c>
      <c r="I225">
        <v>0</v>
      </c>
      <c r="J225">
        <v>0</v>
      </c>
      <c r="K225">
        <v>0</v>
      </c>
      <c r="L225">
        <v>0</v>
      </c>
      <c r="M225">
        <v>1</v>
      </c>
      <c r="P225" s="4"/>
    </row>
    <row r="226" spans="1:16" x14ac:dyDescent="0.3">
      <c r="A226" t="s">
        <v>131</v>
      </c>
      <c r="B226" t="s">
        <v>328</v>
      </c>
      <c r="C226">
        <v>0</v>
      </c>
      <c r="D226">
        <v>0</v>
      </c>
      <c r="E226">
        <v>0</v>
      </c>
      <c r="F226">
        <v>0</v>
      </c>
      <c r="G226">
        <v>0</v>
      </c>
      <c r="H226">
        <v>0</v>
      </c>
      <c r="I226">
        <v>0</v>
      </c>
      <c r="J226">
        <v>0</v>
      </c>
      <c r="K226">
        <v>0</v>
      </c>
      <c r="L226">
        <v>1</v>
      </c>
      <c r="M226">
        <v>1</v>
      </c>
      <c r="P226" s="3"/>
    </row>
    <row r="227" spans="1:16" x14ac:dyDescent="0.3">
      <c r="A227" t="s">
        <v>131</v>
      </c>
      <c r="B227" t="s">
        <v>329</v>
      </c>
      <c r="C227">
        <v>4</v>
      </c>
      <c r="D227">
        <v>157</v>
      </c>
      <c r="E227">
        <v>158</v>
      </c>
      <c r="F227">
        <v>37</v>
      </c>
      <c r="G227">
        <v>11</v>
      </c>
      <c r="H227">
        <v>5</v>
      </c>
      <c r="I227">
        <v>0</v>
      </c>
      <c r="J227">
        <v>0</v>
      </c>
      <c r="K227">
        <v>0</v>
      </c>
      <c r="L227">
        <v>0</v>
      </c>
      <c r="M227">
        <v>372</v>
      </c>
      <c r="P227" s="4"/>
    </row>
    <row r="228" spans="1:16" x14ac:dyDescent="0.3">
      <c r="A228" t="s">
        <v>136</v>
      </c>
      <c r="B228" t="s">
        <v>329</v>
      </c>
      <c r="C228">
        <v>0</v>
      </c>
      <c r="D228">
        <v>0</v>
      </c>
      <c r="E228">
        <v>0</v>
      </c>
      <c r="F228">
        <v>1</v>
      </c>
      <c r="G228">
        <v>0</v>
      </c>
      <c r="H228">
        <v>0</v>
      </c>
      <c r="I228">
        <v>0</v>
      </c>
      <c r="J228">
        <v>0</v>
      </c>
      <c r="K228">
        <v>0</v>
      </c>
      <c r="L228">
        <v>0</v>
      </c>
      <c r="M228">
        <v>1</v>
      </c>
      <c r="P228" s="3"/>
    </row>
    <row r="229" spans="1:16" x14ac:dyDescent="0.3">
      <c r="A229" t="s">
        <v>136</v>
      </c>
      <c r="B229" t="s">
        <v>330</v>
      </c>
      <c r="C229">
        <v>0</v>
      </c>
      <c r="D229">
        <v>1</v>
      </c>
      <c r="E229">
        <v>1</v>
      </c>
      <c r="F229">
        <v>0</v>
      </c>
      <c r="G229">
        <v>0</v>
      </c>
      <c r="H229">
        <v>0</v>
      </c>
      <c r="I229">
        <v>0</v>
      </c>
      <c r="J229">
        <v>0</v>
      </c>
      <c r="K229">
        <v>0</v>
      </c>
      <c r="L229">
        <v>0</v>
      </c>
      <c r="M229">
        <v>2</v>
      </c>
      <c r="P229" s="4"/>
    </row>
    <row r="230" spans="1:16" x14ac:dyDescent="0.3">
      <c r="A230" t="s">
        <v>131</v>
      </c>
      <c r="B230" t="s">
        <v>331</v>
      </c>
      <c r="C230">
        <v>0</v>
      </c>
      <c r="D230">
        <v>0</v>
      </c>
      <c r="E230">
        <v>57</v>
      </c>
      <c r="F230">
        <v>1</v>
      </c>
      <c r="G230">
        <v>1</v>
      </c>
      <c r="H230">
        <v>11</v>
      </c>
      <c r="I230">
        <v>92</v>
      </c>
      <c r="J230">
        <v>571</v>
      </c>
      <c r="K230">
        <v>2749</v>
      </c>
      <c r="L230">
        <v>425</v>
      </c>
      <c r="M230">
        <v>3907</v>
      </c>
      <c r="P230" s="3"/>
    </row>
    <row r="231" spans="1:16" x14ac:dyDescent="0.3">
      <c r="A231" t="s">
        <v>136</v>
      </c>
      <c r="B231" t="s">
        <v>331</v>
      </c>
      <c r="C231">
        <v>0</v>
      </c>
      <c r="D231">
        <v>0</v>
      </c>
      <c r="E231">
        <v>0</v>
      </c>
      <c r="F231">
        <v>0</v>
      </c>
      <c r="G231">
        <v>0</v>
      </c>
      <c r="H231">
        <v>0</v>
      </c>
      <c r="I231">
        <v>0</v>
      </c>
      <c r="J231">
        <v>2</v>
      </c>
      <c r="K231">
        <v>0</v>
      </c>
      <c r="L231">
        <v>0</v>
      </c>
      <c r="M231">
        <v>2</v>
      </c>
      <c r="P231" s="4"/>
    </row>
    <row r="232" spans="1:16" x14ac:dyDescent="0.3">
      <c r="A232" t="s">
        <v>131</v>
      </c>
      <c r="B232" t="s">
        <v>332</v>
      </c>
      <c r="C232">
        <v>0</v>
      </c>
      <c r="D232">
        <v>0</v>
      </c>
      <c r="E232">
        <v>60</v>
      </c>
      <c r="F232">
        <v>7</v>
      </c>
      <c r="G232">
        <v>21</v>
      </c>
      <c r="H232">
        <v>0</v>
      </c>
      <c r="I232">
        <v>0</v>
      </c>
      <c r="J232">
        <v>0</v>
      </c>
      <c r="K232">
        <v>0</v>
      </c>
      <c r="L232">
        <v>0</v>
      </c>
      <c r="M232">
        <v>88</v>
      </c>
      <c r="P232" s="3"/>
    </row>
    <row r="233" spans="1:16" x14ac:dyDescent="0.3">
      <c r="A233" t="s">
        <v>131</v>
      </c>
      <c r="B233" t="s">
        <v>333</v>
      </c>
      <c r="C233">
        <v>0</v>
      </c>
      <c r="D233">
        <v>0</v>
      </c>
      <c r="E233">
        <v>0</v>
      </c>
      <c r="F233">
        <v>0</v>
      </c>
      <c r="G233">
        <v>2</v>
      </c>
      <c r="H233">
        <v>14</v>
      </c>
      <c r="I233">
        <v>7</v>
      </c>
      <c r="J233">
        <v>24</v>
      </c>
      <c r="K233">
        <v>96</v>
      </c>
      <c r="L233">
        <v>37</v>
      </c>
      <c r="M233">
        <v>180</v>
      </c>
      <c r="P233" s="4"/>
    </row>
    <row r="234" spans="1:16" x14ac:dyDescent="0.3">
      <c r="A234" t="s">
        <v>131</v>
      </c>
      <c r="B234" t="s">
        <v>334</v>
      </c>
      <c r="C234">
        <v>0</v>
      </c>
      <c r="D234">
        <v>0</v>
      </c>
      <c r="E234">
        <v>0</v>
      </c>
      <c r="F234">
        <v>0</v>
      </c>
      <c r="G234">
        <v>11</v>
      </c>
      <c r="H234">
        <v>29</v>
      </c>
      <c r="I234">
        <v>31</v>
      </c>
      <c r="J234">
        <v>46</v>
      </c>
      <c r="K234">
        <v>32</v>
      </c>
      <c r="L234">
        <v>2</v>
      </c>
      <c r="M234">
        <v>151</v>
      </c>
      <c r="P234" s="3"/>
    </row>
    <row r="235" spans="1:16" x14ac:dyDescent="0.3">
      <c r="A235" t="s">
        <v>131</v>
      </c>
      <c r="B235" t="s">
        <v>335</v>
      </c>
      <c r="C235">
        <v>0</v>
      </c>
      <c r="D235">
        <v>0</v>
      </c>
      <c r="E235">
        <v>3</v>
      </c>
      <c r="F235">
        <v>0</v>
      </c>
      <c r="G235">
        <v>0</v>
      </c>
      <c r="H235">
        <v>0</v>
      </c>
      <c r="I235">
        <v>0</v>
      </c>
      <c r="J235">
        <v>0</v>
      </c>
      <c r="K235">
        <v>0</v>
      </c>
      <c r="L235">
        <v>0</v>
      </c>
      <c r="M235">
        <v>3</v>
      </c>
      <c r="P235" s="4"/>
    </row>
    <row r="236" spans="1:16" x14ac:dyDescent="0.3">
      <c r="A236" t="s">
        <v>131</v>
      </c>
      <c r="B236" t="s">
        <v>336</v>
      </c>
      <c r="C236">
        <v>0</v>
      </c>
      <c r="D236">
        <v>0</v>
      </c>
      <c r="E236">
        <v>0</v>
      </c>
      <c r="F236">
        <v>0</v>
      </c>
      <c r="G236">
        <v>0</v>
      </c>
      <c r="H236">
        <v>0</v>
      </c>
      <c r="I236">
        <v>0</v>
      </c>
      <c r="J236">
        <v>0</v>
      </c>
      <c r="K236">
        <v>0</v>
      </c>
      <c r="L236">
        <v>5</v>
      </c>
      <c r="M236">
        <v>5</v>
      </c>
      <c r="P236" s="3"/>
    </row>
    <row r="237" spans="1:16" x14ac:dyDescent="0.3">
      <c r="A237" t="s">
        <v>131</v>
      </c>
      <c r="B237" t="s">
        <v>337</v>
      </c>
      <c r="C237">
        <v>0</v>
      </c>
      <c r="D237">
        <v>0</v>
      </c>
      <c r="E237">
        <v>2</v>
      </c>
      <c r="F237">
        <v>0</v>
      </c>
      <c r="G237">
        <v>0</v>
      </c>
      <c r="H237">
        <v>0</v>
      </c>
      <c r="I237">
        <v>0</v>
      </c>
      <c r="J237">
        <v>0</v>
      </c>
      <c r="K237">
        <v>0</v>
      </c>
      <c r="L237">
        <v>0</v>
      </c>
      <c r="M237">
        <v>2</v>
      </c>
      <c r="P237" s="4"/>
    </row>
    <row r="238" spans="1:16" x14ac:dyDescent="0.3">
      <c r="A238" t="s">
        <v>136</v>
      </c>
      <c r="B238" t="s">
        <v>338</v>
      </c>
      <c r="C238">
        <v>0</v>
      </c>
      <c r="D238">
        <v>0</v>
      </c>
      <c r="E238">
        <v>0</v>
      </c>
      <c r="F238">
        <v>0</v>
      </c>
      <c r="G238">
        <v>0</v>
      </c>
      <c r="H238">
        <v>2</v>
      </c>
      <c r="I238">
        <v>0</v>
      </c>
      <c r="J238">
        <v>0</v>
      </c>
      <c r="K238">
        <v>0</v>
      </c>
      <c r="L238">
        <v>0</v>
      </c>
      <c r="M238">
        <v>2</v>
      </c>
      <c r="P238" s="3"/>
    </row>
    <row r="239" spans="1:16" x14ac:dyDescent="0.3">
      <c r="A239" t="s">
        <v>131</v>
      </c>
      <c r="B239" t="s">
        <v>339</v>
      </c>
      <c r="C239">
        <v>0</v>
      </c>
      <c r="D239">
        <v>1</v>
      </c>
      <c r="E239">
        <v>1</v>
      </c>
      <c r="F239">
        <v>0</v>
      </c>
      <c r="G239">
        <v>0</v>
      </c>
      <c r="H239">
        <v>0</v>
      </c>
      <c r="I239">
        <v>0</v>
      </c>
      <c r="J239">
        <v>0</v>
      </c>
      <c r="K239">
        <v>0</v>
      </c>
      <c r="L239">
        <v>0</v>
      </c>
      <c r="M239">
        <v>2</v>
      </c>
      <c r="P239" s="4"/>
    </row>
    <row r="240" spans="1:16" x14ac:dyDescent="0.3">
      <c r="A240" t="s">
        <v>131</v>
      </c>
      <c r="B240" t="s">
        <v>340</v>
      </c>
      <c r="C240">
        <v>0</v>
      </c>
      <c r="D240">
        <v>0</v>
      </c>
      <c r="E240">
        <v>0</v>
      </c>
      <c r="F240">
        <v>0</v>
      </c>
      <c r="G240">
        <v>0</v>
      </c>
      <c r="H240">
        <v>30</v>
      </c>
      <c r="I240">
        <v>1125</v>
      </c>
      <c r="J240">
        <v>3225</v>
      </c>
      <c r="K240">
        <v>5925</v>
      </c>
      <c r="L240">
        <v>2871</v>
      </c>
      <c r="M240">
        <v>13176</v>
      </c>
      <c r="P240" s="3"/>
    </row>
    <row r="241" spans="1:16" x14ac:dyDescent="0.3">
      <c r="A241" t="s">
        <v>131</v>
      </c>
      <c r="B241" t="s">
        <v>341</v>
      </c>
      <c r="C241">
        <v>0</v>
      </c>
      <c r="D241">
        <v>0</v>
      </c>
      <c r="E241">
        <v>0</v>
      </c>
      <c r="F241">
        <v>1</v>
      </c>
      <c r="G241">
        <v>0</v>
      </c>
      <c r="H241">
        <v>0</v>
      </c>
      <c r="I241">
        <v>0</v>
      </c>
      <c r="J241">
        <v>0</v>
      </c>
      <c r="K241">
        <v>0</v>
      </c>
      <c r="L241">
        <v>0</v>
      </c>
      <c r="M241">
        <v>1</v>
      </c>
      <c r="P241" s="4"/>
    </row>
    <row r="242" spans="1:16" x14ac:dyDescent="0.3">
      <c r="A242" t="s">
        <v>133</v>
      </c>
      <c r="B242" t="s">
        <v>342</v>
      </c>
      <c r="C242">
        <v>0</v>
      </c>
      <c r="D242">
        <v>0</v>
      </c>
      <c r="E242">
        <v>0</v>
      </c>
      <c r="F242">
        <v>0</v>
      </c>
      <c r="G242">
        <v>0</v>
      </c>
      <c r="H242">
        <v>0</v>
      </c>
      <c r="I242">
        <v>0</v>
      </c>
      <c r="J242">
        <v>102</v>
      </c>
      <c r="K242">
        <v>283</v>
      </c>
      <c r="L242">
        <v>72</v>
      </c>
      <c r="M242">
        <v>457</v>
      </c>
      <c r="P242" s="3"/>
    </row>
    <row r="243" spans="1:16" x14ac:dyDescent="0.3">
      <c r="A243" t="s">
        <v>131</v>
      </c>
      <c r="B243" t="s">
        <v>343</v>
      </c>
      <c r="C243">
        <v>0</v>
      </c>
      <c r="D243">
        <v>1</v>
      </c>
      <c r="E243">
        <v>3</v>
      </c>
      <c r="F243">
        <v>0</v>
      </c>
      <c r="G243">
        <v>0</v>
      </c>
      <c r="H243">
        <v>0</v>
      </c>
      <c r="I243">
        <v>0</v>
      </c>
      <c r="J243">
        <v>0</v>
      </c>
      <c r="K243">
        <v>0</v>
      </c>
      <c r="L243">
        <v>0</v>
      </c>
      <c r="M243">
        <v>4</v>
      </c>
      <c r="P243" s="4"/>
    </row>
    <row r="244" spans="1:16" x14ac:dyDescent="0.3">
      <c r="A244" t="s">
        <v>131</v>
      </c>
      <c r="B244" t="s">
        <v>344</v>
      </c>
      <c r="C244">
        <v>0</v>
      </c>
      <c r="D244">
        <v>0</v>
      </c>
      <c r="E244">
        <v>0</v>
      </c>
      <c r="F244">
        <v>75</v>
      </c>
      <c r="G244">
        <v>149</v>
      </c>
      <c r="H244">
        <v>40</v>
      </c>
      <c r="I244">
        <v>55</v>
      </c>
      <c r="J244">
        <v>83</v>
      </c>
      <c r="K244">
        <v>122</v>
      </c>
      <c r="L244">
        <v>73</v>
      </c>
      <c r="M244">
        <v>597</v>
      </c>
      <c r="P244" s="3"/>
    </row>
    <row r="245" spans="1:16" x14ac:dyDescent="0.3">
      <c r="A245" t="s">
        <v>131</v>
      </c>
      <c r="B245" t="s">
        <v>345</v>
      </c>
      <c r="C245">
        <v>0</v>
      </c>
      <c r="D245">
        <v>0</v>
      </c>
      <c r="E245">
        <v>567</v>
      </c>
      <c r="F245">
        <v>854</v>
      </c>
      <c r="G245">
        <v>1031</v>
      </c>
      <c r="H245">
        <v>387</v>
      </c>
      <c r="I245">
        <v>285</v>
      </c>
      <c r="J245">
        <v>243</v>
      </c>
      <c r="K245">
        <v>311</v>
      </c>
      <c r="L245">
        <v>120</v>
      </c>
      <c r="M245">
        <v>3798</v>
      </c>
      <c r="P245" s="4"/>
    </row>
    <row r="246" spans="1:16" x14ac:dyDescent="0.3">
      <c r="A246" t="s">
        <v>131</v>
      </c>
      <c r="B246" t="s">
        <v>346</v>
      </c>
      <c r="C246">
        <v>0</v>
      </c>
      <c r="D246">
        <v>136</v>
      </c>
      <c r="E246">
        <v>274</v>
      </c>
      <c r="F246">
        <v>397</v>
      </c>
      <c r="G246">
        <v>222</v>
      </c>
      <c r="H246">
        <v>62</v>
      </c>
      <c r="I246">
        <v>8</v>
      </c>
      <c r="J246">
        <v>13</v>
      </c>
      <c r="K246">
        <v>2</v>
      </c>
      <c r="L246">
        <v>0</v>
      </c>
      <c r="M246">
        <v>1114</v>
      </c>
      <c r="P246" s="3"/>
    </row>
    <row r="247" spans="1:16" x14ac:dyDescent="0.3">
      <c r="A247" t="s">
        <v>131</v>
      </c>
      <c r="B247" t="s">
        <v>347</v>
      </c>
      <c r="C247">
        <v>0</v>
      </c>
      <c r="D247">
        <v>0</v>
      </c>
      <c r="E247">
        <v>0</v>
      </c>
      <c r="F247">
        <v>0</v>
      </c>
      <c r="G247">
        <v>119</v>
      </c>
      <c r="H247">
        <v>114</v>
      </c>
      <c r="I247">
        <v>345</v>
      </c>
      <c r="J247">
        <v>720</v>
      </c>
      <c r="K247">
        <v>1563</v>
      </c>
      <c r="L247">
        <v>1048</v>
      </c>
      <c r="M247">
        <v>3909</v>
      </c>
      <c r="P247" s="4"/>
    </row>
    <row r="248" spans="1:16" x14ac:dyDescent="0.3">
      <c r="A248" t="s">
        <v>131</v>
      </c>
      <c r="B248" t="s">
        <v>348</v>
      </c>
      <c r="C248">
        <v>0</v>
      </c>
      <c r="D248">
        <v>0</v>
      </c>
      <c r="E248">
        <v>4</v>
      </c>
      <c r="F248">
        <v>46</v>
      </c>
      <c r="G248">
        <v>12</v>
      </c>
      <c r="H248">
        <v>3</v>
      </c>
      <c r="I248">
        <v>3</v>
      </c>
      <c r="J248">
        <v>4</v>
      </c>
      <c r="K248">
        <v>12</v>
      </c>
      <c r="L248">
        <v>14</v>
      </c>
      <c r="M248">
        <v>98</v>
      </c>
      <c r="P248" s="3"/>
    </row>
    <row r="249" spans="1:16" x14ac:dyDescent="0.3">
      <c r="A249" t="s">
        <v>131</v>
      </c>
      <c r="B249" t="s">
        <v>349</v>
      </c>
      <c r="C249">
        <v>0</v>
      </c>
      <c r="D249">
        <v>0</v>
      </c>
      <c r="E249">
        <v>0</v>
      </c>
      <c r="F249">
        <v>0</v>
      </c>
      <c r="G249">
        <v>1</v>
      </c>
      <c r="H249">
        <v>0</v>
      </c>
      <c r="I249">
        <v>0</v>
      </c>
      <c r="J249">
        <v>0</v>
      </c>
      <c r="K249">
        <v>0</v>
      </c>
      <c r="L249">
        <v>0</v>
      </c>
      <c r="M249">
        <v>1</v>
      </c>
      <c r="P249" s="4"/>
    </row>
    <row r="250" spans="1:16" x14ac:dyDescent="0.3">
      <c r="A250" t="s">
        <v>131</v>
      </c>
      <c r="B250" t="s">
        <v>350</v>
      </c>
      <c r="C250">
        <v>0</v>
      </c>
      <c r="D250">
        <v>0</v>
      </c>
      <c r="E250">
        <v>1</v>
      </c>
      <c r="F250">
        <v>0</v>
      </c>
      <c r="G250">
        <v>0</v>
      </c>
      <c r="H250">
        <v>0</v>
      </c>
      <c r="I250">
        <v>0</v>
      </c>
      <c r="J250">
        <v>0</v>
      </c>
      <c r="K250">
        <v>0</v>
      </c>
      <c r="L250">
        <v>0</v>
      </c>
      <c r="M250">
        <v>1</v>
      </c>
      <c r="P250" s="3"/>
    </row>
    <row r="251" spans="1:16" x14ac:dyDescent="0.3">
      <c r="A251" t="s">
        <v>131</v>
      </c>
      <c r="B251" t="s">
        <v>351</v>
      </c>
      <c r="C251">
        <v>0</v>
      </c>
      <c r="D251">
        <v>0</v>
      </c>
      <c r="E251">
        <v>12</v>
      </c>
      <c r="F251">
        <v>330</v>
      </c>
      <c r="G251">
        <v>896</v>
      </c>
      <c r="H251">
        <v>1100</v>
      </c>
      <c r="I251">
        <v>755</v>
      </c>
      <c r="J251">
        <v>1334</v>
      </c>
      <c r="K251">
        <v>2466</v>
      </c>
      <c r="L251">
        <v>1246</v>
      </c>
      <c r="M251">
        <v>8139</v>
      </c>
      <c r="P251" s="4"/>
    </row>
    <row r="252" spans="1:16" x14ac:dyDescent="0.3">
      <c r="A252" t="s">
        <v>131</v>
      </c>
      <c r="B252" t="s">
        <v>352</v>
      </c>
      <c r="C252">
        <v>0</v>
      </c>
      <c r="D252">
        <v>0</v>
      </c>
      <c r="E252">
        <v>0</v>
      </c>
      <c r="F252">
        <v>192</v>
      </c>
      <c r="G252">
        <v>106</v>
      </c>
      <c r="H252">
        <v>5</v>
      </c>
      <c r="I252">
        <v>0</v>
      </c>
      <c r="J252">
        <v>0</v>
      </c>
      <c r="K252">
        <v>8</v>
      </c>
      <c r="L252">
        <v>21</v>
      </c>
      <c r="M252">
        <v>332</v>
      </c>
      <c r="P252" s="3"/>
    </row>
    <row r="253" spans="1:16" x14ac:dyDescent="0.3">
      <c r="A253" t="s">
        <v>131</v>
      </c>
      <c r="B253" t="s">
        <v>353</v>
      </c>
      <c r="C253">
        <v>0</v>
      </c>
      <c r="D253">
        <v>0</v>
      </c>
      <c r="E253">
        <v>0</v>
      </c>
      <c r="F253">
        <v>0</v>
      </c>
      <c r="G253">
        <v>0</v>
      </c>
      <c r="H253">
        <v>16</v>
      </c>
      <c r="I253">
        <v>30</v>
      </c>
      <c r="J253">
        <v>1</v>
      </c>
      <c r="K253">
        <v>0</v>
      </c>
      <c r="L253">
        <v>0</v>
      </c>
      <c r="M253">
        <v>47</v>
      </c>
      <c r="P253" s="4"/>
    </row>
    <row r="254" spans="1:16" x14ac:dyDescent="0.3">
      <c r="A254" t="s">
        <v>131</v>
      </c>
      <c r="B254" t="s">
        <v>354</v>
      </c>
      <c r="C254">
        <v>0</v>
      </c>
      <c r="D254">
        <v>0</v>
      </c>
      <c r="E254">
        <v>0</v>
      </c>
      <c r="F254">
        <v>0</v>
      </c>
      <c r="G254">
        <v>0</v>
      </c>
      <c r="H254">
        <v>0</v>
      </c>
      <c r="I254">
        <v>0</v>
      </c>
      <c r="J254">
        <v>0</v>
      </c>
      <c r="K254">
        <v>0</v>
      </c>
      <c r="L254">
        <v>287</v>
      </c>
      <c r="M254">
        <v>287</v>
      </c>
      <c r="P254" s="3"/>
    </row>
    <row r="255" spans="1:16" x14ac:dyDescent="0.3">
      <c r="A255" t="s">
        <v>131</v>
      </c>
      <c r="B255" t="s">
        <v>355</v>
      </c>
      <c r="C255">
        <v>1</v>
      </c>
      <c r="D255">
        <v>7</v>
      </c>
      <c r="E255">
        <v>3</v>
      </c>
      <c r="F255">
        <v>0</v>
      </c>
      <c r="G255">
        <v>0</v>
      </c>
      <c r="H255">
        <v>0</v>
      </c>
      <c r="I255">
        <v>0</v>
      </c>
      <c r="J255">
        <v>0</v>
      </c>
      <c r="K255">
        <v>0</v>
      </c>
      <c r="L255">
        <v>0</v>
      </c>
      <c r="M255">
        <v>11</v>
      </c>
      <c r="P255" s="4"/>
    </row>
    <row r="256" spans="1:16" x14ac:dyDescent="0.3">
      <c r="A256" t="s">
        <v>131</v>
      </c>
      <c r="B256" t="s">
        <v>356</v>
      </c>
      <c r="C256">
        <v>0</v>
      </c>
      <c r="D256">
        <v>0</v>
      </c>
      <c r="E256">
        <v>0</v>
      </c>
      <c r="F256">
        <v>4</v>
      </c>
      <c r="G256">
        <v>0</v>
      </c>
      <c r="H256">
        <v>0</v>
      </c>
      <c r="I256">
        <v>0</v>
      </c>
      <c r="J256">
        <v>0</v>
      </c>
      <c r="K256">
        <v>12</v>
      </c>
      <c r="L256">
        <v>83</v>
      </c>
      <c r="M256">
        <v>99</v>
      </c>
      <c r="P256" s="3"/>
    </row>
    <row r="257" spans="1:16" x14ac:dyDescent="0.3">
      <c r="A257" t="s">
        <v>131</v>
      </c>
      <c r="B257" t="s">
        <v>357</v>
      </c>
      <c r="C257">
        <v>0</v>
      </c>
      <c r="D257">
        <v>0</v>
      </c>
      <c r="E257">
        <v>0</v>
      </c>
      <c r="F257">
        <v>0</v>
      </c>
      <c r="G257">
        <v>0</v>
      </c>
      <c r="H257">
        <v>0</v>
      </c>
      <c r="I257">
        <v>0</v>
      </c>
      <c r="J257">
        <v>0</v>
      </c>
      <c r="K257">
        <v>29</v>
      </c>
      <c r="L257">
        <v>26</v>
      </c>
      <c r="M257">
        <v>55</v>
      </c>
      <c r="P257" s="4"/>
    </row>
    <row r="258" spans="1:16" x14ac:dyDescent="0.3">
      <c r="A258" t="s">
        <v>131</v>
      </c>
      <c r="B258" t="s">
        <v>358</v>
      </c>
      <c r="C258">
        <v>0</v>
      </c>
      <c r="D258">
        <v>0</v>
      </c>
      <c r="E258">
        <v>0</v>
      </c>
      <c r="F258">
        <v>0</v>
      </c>
      <c r="G258">
        <v>163</v>
      </c>
      <c r="H258">
        <v>140</v>
      </c>
      <c r="I258">
        <v>141</v>
      </c>
      <c r="J258">
        <v>104</v>
      </c>
      <c r="K258">
        <v>34</v>
      </c>
      <c r="L258">
        <v>14</v>
      </c>
      <c r="M258">
        <v>596</v>
      </c>
      <c r="P258" s="3"/>
    </row>
    <row r="259" spans="1:16" x14ac:dyDescent="0.3">
      <c r="A259" t="s">
        <v>136</v>
      </c>
      <c r="B259" t="s">
        <v>359</v>
      </c>
      <c r="C259">
        <v>1</v>
      </c>
      <c r="D259">
        <v>0</v>
      </c>
      <c r="E259">
        <v>0</v>
      </c>
      <c r="F259">
        <v>0</v>
      </c>
      <c r="G259">
        <v>0</v>
      </c>
      <c r="H259">
        <v>0</v>
      </c>
      <c r="I259">
        <v>0</v>
      </c>
      <c r="J259">
        <v>0</v>
      </c>
      <c r="K259">
        <v>0</v>
      </c>
      <c r="L259">
        <v>0</v>
      </c>
      <c r="M259">
        <v>1</v>
      </c>
      <c r="P259" s="4"/>
    </row>
    <row r="260" spans="1:16" x14ac:dyDescent="0.3">
      <c r="A260" t="s">
        <v>131</v>
      </c>
      <c r="B260" t="s">
        <v>360</v>
      </c>
      <c r="C260">
        <v>0</v>
      </c>
      <c r="D260">
        <v>0</v>
      </c>
      <c r="E260">
        <v>0</v>
      </c>
      <c r="F260">
        <v>0</v>
      </c>
      <c r="G260">
        <v>0</v>
      </c>
      <c r="H260">
        <v>0</v>
      </c>
      <c r="I260">
        <v>0</v>
      </c>
      <c r="J260">
        <v>0</v>
      </c>
      <c r="K260">
        <v>0</v>
      </c>
      <c r="L260">
        <v>81</v>
      </c>
      <c r="M260">
        <v>81</v>
      </c>
      <c r="P260" s="3"/>
    </row>
    <row r="261" spans="1:16" x14ac:dyDescent="0.3">
      <c r="A261" t="s">
        <v>131</v>
      </c>
      <c r="B261" t="s">
        <v>361</v>
      </c>
      <c r="C261">
        <v>0</v>
      </c>
      <c r="D261">
        <v>0</v>
      </c>
      <c r="E261">
        <v>0</v>
      </c>
      <c r="F261">
        <v>10</v>
      </c>
      <c r="G261">
        <v>2</v>
      </c>
      <c r="H261">
        <v>0</v>
      </c>
      <c r="I261">
        <v>26</v>
      </c>
      <c r="J261">
        <v>303</v>
      </c>
      <c r="K261">
        <v>604</v>
      </c>
      <c r="L261">
        <v>234</v>
      </c>
      <c r="M261">
        <v>1179</v>
      </c>
      <c r="P261" s="4"/>
    </row>
    <row r="262" spans="1:16" x14ac:dyDescent="0.3">
      <c r="A262" t="s">
        <v>136</v>
      </c>
      <c r="B262" t="s">
        <v>362</v>
      </c>
      <c r="C262">
        <v>0</v>
      </c>
      <c r="D262">
        <v>0</v>
      </c>
      <c r="E262">
        <v>0</v>
      </c>
      <c r="F262">
        <v>1</v>
      </c>
      <c r="G262">
        <v>0</v>
      </c>
      <c r="H262">
        <v>0</v>
      </c>
      <c r="I262">
        <v>0</v>
      </c>
      <c r="J262">
        <v>0</v>
      </c>
      <c r="K262">
        <v>0</v>
      </c>
      <c r="L262">
        <v>0</v>
      </c>
      <c r="M262">
        <v>1</v>
      </c>
      <c r="P262" s="3"/>
    </row>
    <row r="263" spans="1:16" x14ac:dyDescent="0.3">
      <c r="A263" t="s">
        <v>131</v>
      </c>
      <c r="B263" t="s">
        <v>363</v>
      </c>
      <c r="C263">
        <v>0</v>
      </c>
      <c r="D263">
        <v>0</v>
      </c>
      <c r="E263">
        <v>0</v>
      </c>
      <c r="F263">
        <v>0</v>
      </c>
      <c r="G263">
        <v>0</v>
      </c>
      <c r="H263">
        <v>0</v>
      </c>
      <c r="I263">
        <v>0</v>
      </c>
      <c r="J263">
        <v>0</v>
      </c>
      <c r="K263">
        <v>0</v>
      </c>
      <c r="L263">
        <v>1</v>
      </c>
      <c r="M263">
        <v>1</v>
      </c>
      <c r="P263" s="4"/>
    </row>
    <row r="264" spans="1:16" x14ac:dyDescent="0.3">
      <c r="A264" t="s">
        <v>131</v>
      </c>
      <c r="B264" t="s">
        <v>364</v>
      </c>
      <c r="C264">
        <v>0</v>
      </c>
      <c r="D264">
        <v>1</v>
      </c>
      <c r="E264">
        <v>0</v>
      </c>
      <c r="F264">
        <v>0</v>
      </c>
      <c r="G264">
        <v>0</v>
      </c>
      <c r="H264">
        <v>1</v>
      </c>
      <c r="I264">
        <v>0</v>
      </c>
      <c r="J264">
        <v>0</v>
      </c>
      <c r="K264">
        <v>0</v>
      </c>
      <c r="L264">
        <v>0</v>
      </c>
      <c r="M264">
        <v>2</v>
      </c>
      <c r="P264" s="3"/>
    </row>
    <row r="265" spans="1:16" x14ac:dyDescent="0.3">
      <c r="A265" t="s">
        <v>133</v>
      </c>
      <c r="B265" t="s">
        <v>365</v>
      </c>
      <c r="C265">
        <v>0</v>
      </c>
      <c r="D265">
        <v>0</v>
      </c>
      <c r="E265">
        <v>0</v>
      </c>
      <c r="F265">
        <v>0</v>
      </c>
      <c r="G265">
        <v>0</v>
      </c>
      <c r="H265">
        <v>0</v>
      </c>
      <c r="I265">
        <v>0</v>
      </c>
      <c r="J265">
        <v>2</v>
      </c>
      <c r="K265">
        <v>0</v>
      </c>
      <c r="L265">
        <v>0</v>
      </c>
      <c r="M265">
        <v>2</v>
      </c>
      <c r="P265" s="4"/>
    </row>
    <row r="266" spans="1:16" x14ac:dyDescent="0.3">
      <c r="A266" t="s">
        <v>131</v>
      </c>
      <c r="B266" t="s">
        <v>365</v>
      </c>
      <c r="C266">
        <v>16</v>
      </c>
      <c r="D266">
        <v>1573</v>
      </c>
      <c r="E266">
        <v>2205</v>
      </c>
      <c r="F266">
        <v>3404</v>
      </c>
      <c r="G266">
        <v>3954</v>
      </c>
      <c r="H266">
        <v>2541</v>
      </c>
      <c r="I266">
        <v>5361</v>
      </c>
      <c r="J266">
        <v>13987</v>
      </c>
      <c r="K266">
        <v>25071</v>
      </c>
      <c r="L266">
        <v>11832</v>
      </c>
      <c r="M266">
        <v>69944</v>
      </c>
      <c r="P266" s="3"/>
    </row>
    <row r="267" spans="1:16" x14ac:dyDescent="0.3">
      <c r="A267" t="s">
        <v>136</v>
      </c>
      <c r="B267" t="s">
        <v>365</v>
      </c>
      <c r="C267">
        <v>0</v>
      </c>
      <c r="D267">
        <v>2</v>
      </c>
      <c r="E267">
        <v>1</v>
      </c>
      <c r="F267">
        <v>7</v>
      </c>
      <c r="G267">
        <v>2</v>
      </c>
      <c r="H267">
        <v>0</v>
      </c>
      <c r="I267">
        <v>1</v>
      </c>
      <c r="J267">
        <v>2</v>
      </c>
      <c r="K267">
        <v>5</v>
      </c>
      <c r="L267">
        <v>0</v>
      </c>
      <c r="M267">
        <v>20</v>
      </c>
      <c r="P267" s="4"/>
    </row>
    <row r="268" spans="1:16" x14ac:dyDescent="0.3">
      <c r="A268" t="s">
        <v>131</v>
      </c>
      <c r="B268" t="s">
        <v>366</v>
      </c>
      <c r="C268">
        <v>0</v>
      </c>
      <c r="D268">
        <v>14</v>
      </c>
      <c r="E268">
        <v>129</v>
      </c>
      <c r="F268">
        <v>18</v>
      </c>
      <c r="G268">
        <v>10</v>
      </c>
      <c r="H268">
        <v>3</v>
      </c>
      <c r="I268">
        <v>2</v>
      </c>
      <c r="J268">
        <v>0</v>
      </c>
      <c r="K268">
        <v>0</v>
      </c>
      <c r="L268">
        <v>0</v>
      </c>
      <c r="M268">
        <v>176</v>
      </c>
      <c r="P268" s="3"/>
    </row>
    <row r="269" spans="1:16" x14ac:dyDescent="0.3">
      <c r="A269" t="s">
        <v>131</v>
      </c>
      <c r="B269" t="s">
        <v>367</v>
      </c>
      <c r="C269">
        <v>0</v>
      </c>
      <c r="D269">
        <v>3</v>
      </c>
      <c r="E269">
        <v>50</v>
      </c>
      <c r="F269">
        <v>213</v>
      </c>
      <c r="G269">
        <v>96</v>
      </c>
      <c r="H269">
        <v>27</v>
      </c>
      <c r="I269">
        <v>33</v>
      </c>
      <c r="J269">
        <v>142</v>
      </c>
      <c r="K269">
        <v>145</v>
      </c>
      <c r="L269">
        <v>43</v>
      </c>
      <c r="M269">
        <v>752</v>
      </c>
      <c r="P269" s="4"/>
    </row>
    <row r="270" spans="1:16" x14ac:dyDescent="0.3">
      <c r="A270" t="s">
        <v>131</v>
      </c>
      <c r="B270" t="s">
        <v>368</v>
      </c>
      <c r="C270">
        <v>0</v>
      </c>
      <c r="D270">
        <v>0</v>
      </c>
      <c r="E270">
        <v>0</v>
      </c>
      <c r="F270">
        <v>0</v>
      </c>
      <c r="G270">
        <v>45</v>
      </c>
      <c r="H270">
        <v>3</v>
      </c>
      <c r="I270">
        <v>0</v>
      </c>
      <c r="J270">
        <v>0</v>
      </c>
      <c r="K270">
        <v>0</v>
      </c>
      <c r="L270">
        <v>0</v>
      </c>
      <c r="M270">
        <v>48</v>
      </c>
      <c r="P270" s="3"/>
    </row>
    <row r="271" spans="1:16" x14ac:dyDescent="0.3">
      <c r="A271" t="s">
        <v>131</v>
      </c>
      <c r="B271" t="s">
        <v>369</v>
      </c>
      <c r="C271">
        <v>0</v>
      </c>
      <c r="D271">
        <v>0</v>
      </c>
      <c r="E271">
        <v>3</v>
      </c>
      <c r="F271">
        <v>126</v>
      </c>
      <c r="G271">
        <v>355</v>
      </c>
      <c r="H271">
        <v>169</v>
      </c>
      <c r="I271">
        <v>416</v>
      </c>
      <c r="J271">
        <v>744</v>
      </c>
      <c r="K271">
        <v>1026</v>
      </c>
      <c r="L271">
        <v>403</v>
      </c>
      <c r="M271">
        <v>3242</v>
      </c>
      <c r="P271" s="4"/>
    </row>
    <row r="272" spans="1:16" x14ac:dyDescent="0.3">
      <c r="A272" t="s">
        <v>181</v>
      </c>
      <c r="B272" t="s">
        <v>370</v>
      </c>
      <c r="C272">
        <v>1</v>
      </c>
      <c r="D272">
        <v>0</v>
      </c>
      <c r="E272">
        <v>0</v>
      </c>
      <c r="F272">
        <v>0</v>
      </c>
      <c r="G272">
        <v>0</v>
      </c>
      <c r="H272">
        <v>0</v>
      </c>
      <c r="I272">
        <v>0</v>
      </c>
      <c r="J272">
        <v>0</v>
      </c>
      <c r="K272">
        <v>0</v>
      </c>
      <c r="L272">
        <v>0</v>
      </c>
      <c r="M272">
        <v>1</v>
      </c>
      <c r="P272" s="3"/>
    </row>
    <row r="273" spans="1:16" x14ac:dyDescent="0.3">
      <c r="A273" t="s">
        <v>131</v>
      </c>
      <c r="B273" t="s">
        <v>371</v>
      </c>
      <c r="C273">
        <v>0</v>
      </c>
      <c r="D273">
        <v>0</v>
      </c>
      <c r="E273">
        <v>0</v>
      </c>
      <c r="F273">
        <v>10</v>
      </c>
      <c r="G273">
        <v>6</v>
      </c>
      <c r="H273">
        <v>1</v>
      </c>
      <c r="I273">
        <v>2</v>
      </c>
      <c r="J273">
        <v>0</v>
      </c>
      <c r="K273">
        <v>0</v>
      </c>
      <c r="L273">
        <v>0</v>
      </c>
      <c r="M273">
        <v>19</v>
      </c>
      <c r="P273" s="4"/>
    </row>
    <row r="274" spans="1:16" x14ac:dyDescent="0.3">
      <c r="A274" t="s">
        <v>133</v>
      </c>
      <c r="B274" t="s">
        <v>372</v>
      </c>
      <c r="C274">
        <v>0</v>
      </c>
      <c r="D274">
        <v>0</v>
      </c>
      <c r="E274">
        <v>0</v>
      </c>
      <c r="F274">
        <v>0</v>
      </c>
      <c r="G274">
        <v>0</v>
      </c>
      <c r="H274">
        <v>0</v>
      </c>
      <c r="I274">
        <v>0</v>
      </c>
      <c r="J274">
        <v>0</v>
      </c>
      <c r="K274">
        <v>11</v>
      </c>
      <c r="L274">
        <v>1</v>
      </c>
      <c r="M274">
        <v>12</v>
      </c>
      <c r="P274" s="3"/>
    </row>
    <row r="275" spans="1:16" x14ac:dyDescent="0.3">
      <c r="A275" t="s">
        <v>131</v>
      </c>
      <c r="B275" t="s">
        <v>372</v>
      </c>
      <c r="C275">
        <v>0</v>
      </c>
      <c r="D275">
        <v>0</v>
      </c>
      <c r="E275">
        <v>0</v>
      </c>
      <c r="F275">
        <v>0</v>
      </c>
      <c r="G275">
        <v>0</v>
      </c>
      <c r="H275">
        <v>0</v>
      </c>
      <c r="I275">
        <v>0</v>
      </c>
      <c r="J275">
        <v>0</v>
      </c>
      <c r="K275">
        <v>0</v>
      </c>
      <c r="L275">
        <v>23</v>
      </c>
      <c r="M275">
        <v>23</v>
      </c>
      <c r="P275" s="4"/>
    </row>
    <row r="276" spans="1:16" x14ac:dyDescent="0.3">
      <c r="A276" t="s">
        <v>131</v>
      </c>
      <c r="B276" t="s">
        <v>373</v>
      </c>
      <c r="C276">
        <v>0</v>
      </c>
      <c r="D276">
        <v>0</v>
      </c>
      <c r="E276">
        <v>5</v>
      </c>
      <c r="F276">
        <v>22</v>
      </c>
      <c r="G276">
        <v>72</v>
      </c>
      <c r="H276">
        <v>132</v>
      </c>
      <c r="I276">
        <v>17</v>
      </c>
      <c r="J276">
        <v>14</v>
      </c>
      <c r="K276">
        <v>26</v>
      </c>
      <c r="L276">
        <v>1</v>
      </c>
      <c r="M276">
        <v>289</v>
      </c>
      <c r="P276" s="3"/>
    </row>
    <row r="277" spans="1:16" x14ac:dyDescent="0.3">
      <c r="A277" t="s">
        <v>133</v>
      </c>
      <c r="B277" t="s">
        <v>374</v>
      </c>
      <c r="C277">
        <v>1</v>
      </c>
      <c r="D277">
        <v>2</v>
      </c>
      <c r="E277">
        <v>0</v>
      </c>
      <c r="F277">
        <v>0</v>
      </c>
      <c r="G277">
        <v>0</v>
      </c>
      <c r="H277">
        <v>0</v>
      </c>
      <c r="I277">
        <v>0</v>
      </c>
      <c r="J277">
        <v>0</v>
      </c>
      <c r="K277">
        <v>0</v>
      </c>
      <c r="L277">
        <v>0</v>
      </c>
      <c r="M277">
        <v>3</v>
      </c>
      <c r="P277" s="4"/>
    </row>
    <row r="278" spans="1:16" x14ac:dyDescent="0.3">
      <c r="A278" t="s">
        <v>131</v>
      </c>
      <c r="B278" t="s">
        <v>375</v>
      </c>
      <c r="C278">
        <v>0</v>
      </c>
      <c r="D278">
        <v>0</v>
      </c>
      <c r="E278">
        <v>0</v>
      </c>
      <c r="F278">
        <v>0</v>
      </c>
      <c r="G278">
        <v>0</v>
      </c>
      <c r="H278">
        <v>0</v>
      </c>
      <c r="I278">
        <v>0</v>
      </c>
      <c r="J278">
        <v>0</v>
      </c>
      <c r="K278">
        <v>3</v>
      </c>
      <c r="L278">
        <v>27</v>
      </c>
      <c r="M278">
        <v>30</v>
      </c>
      <c r="P278" s="3"/>
    </row>
    <row r="279" spans="1:16" x14ac:dyDescent="0.3">
      <c r="A279" t="s">
        <v>131</v>
      </c>
      <c r="B279" t="s">
        <v>376</v>
      </c>
      <c r="C279">
        <v>0</v>
      </c>
      <c r="D279">
        <v>0</v>
      </c>
      <c r="E279">
        <v>0</v>
      </c>
      <c r="F279">
        <v>1</v>
      </c>
      <c r="G279">
        <v>0</v>
      </c>
      <c r="H279">
        <v>0</v>
      </c>
      <c r="I279">
        <v>0</v>
      </c>
      <c r="J279">
        <v>0</v>
      </c>
      <c r="K279">
        <v>0</v>
      </c>
      <c r="L279">
        <v>0</v>
      </c>
      <c r="M279">
        <v>1</v>
      </c>
      <c r="P279" s="4"/>
    </row>
    <row r="280" spans="1:16" x14ac:dyDescent="0.3">
      <c r="A280" t="s">
        <v>131</v>
      </c>
      <c r="B280" t="s">
        <v>377</v>
      </c>
      <c r="C280">
        <v>0</v>
      </c>
      <c r="D280">
        <v>0</v>
      </c>
      <c r="E280">
        <v>4</v>
      </c>
      <c r="F280">
        <v>1</v>
      </c>
      <c r="G280">
        <v>0</v>
      </c>
      <c r="H280">
        <v>0</v>
      </c>
      <c r="I280">
        <v>0</v>
      </c>
      <c r="J280">
        <v>0</v>
      </c>
      <c r="K280">
        <v>0</v>
      </c>
      <c r="L280">
        <v>0</v>
      </c>
      <c r="M280">
        <v>5</v>
      </c>
      <c r="P280" s="3"/>
    </row>
    <row r="281" spans="1:16" x14ac:dyDescent="0.3">
      <c r="A281" t="s">
        <v>131</v>
      </c>
      <c r="B281" t="s">
        <v>378</v>
      </c>
      <c r="C281">
        <v>0</v>
      </c>
      <c r="D281">
        <v>0</v>
      </c>
      <c r="E281">
        <v>0</v>
      </c>
      <c r="F281">
        <v>55</v>
      </c>
      <c r="G281">
        <v>271</v>
      </c>
      <c r="H281">
        <v>259</v>
      </c>
      <c r="I281">
        <v>428</v>
      </c>
      <c r="J281">
        <v>610</v>
      </c>
      <c r="K281">
        <v>934</v>
      </c>
      <c r="L281">
        <v>444</v>
      </c>
      <c r="M281">
        <v>3001</v>
      </c>
      <c r="P281" s="4"/>
    </row>
    <row r="282" spans="1:16" x14ac:dyDescent="0.3">
      <c r="A282" t="s">
        <v>131</v>
      </c>
      <c r="B282" t="s">
        <v>379</v>
      </c>
      <c r="C282">
        <v>0</v>
      </c>
      <c r="D282">
        <v>0</v>
      </c>
      <c r="E282">
        <v>0</v>
      </c>
      <c r="F282">
        <v>0</v>
      </c>
      <c r="G282">
        <v>11</v>
      </c>
      <c r="H282">
        <v>9</v>
      </c>
      <c r="I282">
        <v>0</v>
      </c>
      <c r="J282">
        <v>0</v>
      </c>
      <c r="K282">
        <v>0</v>
      </c>
      <c r="L282">
        <v>0</v>
      </c>
      <c r="M282">
        <v>20</v>
      </c>
      <c r="P282" s="3"/>
    </row>
    <row r="283" spans="1:16" x14ac:dyDescent="0.3">
      <c r="A283" t="s">
        <v>131</v>
      </c>
      <c r="B283" t="s">
        <v>380</v>
      </c>
      <c r="C283">
        <v>0</v>
      </c>
      <c r="D283">
        <v>0</v>
      </c>
      <c r="E283">
        <v>0</v>
      </c>
      <c r="F283">
        <v>1</v>
      </c>
      <c r="G283">
        <v>7</v>
      </c>
      <c r="H283">
        <v>17</v>
      </c>
      <c r="I283">
        <v>0</v>
      </c>
      <c r="J283">
        <v>0</v>
      </c>
      <c r="K283">
        <v>0</v>
      </c>
      <c r="L283">
        <v>0</v>
      </c>
      <c r="M283">
        <v>25</v>
      </c>
      <c r="P283" s="4"/>
    </row>
    <row r="284" spans="1:16" x14ac:dyDescent="0.3">
      <c r="A284" t="s">
        <v>133</v>
      </c>
      <c r="B284" t="s">
        <v>381</v>
      </c>
      <c r="C284">
        <v>0</v>
      </c>
      <c r="D284">
        <v>0</v>
      </c>
      <c r="E284">
        <v>0</v>
      </c>
      <c r="F284">
        <v>0</v>
      </c>
      <c r="G284">
        <v>0</v>
      </c>
      <c r="H284">
        <v>0</v>
      </c>
      <c r="I284">
        <v>0</v>
      </c>
      <c r="J284">
        <v>0</v>
      </c>
      <c r="K284">
        <v>2</v>
      </c>
      <c r="L284">
        <v>0</v>
      </c>
      <c r="M284">
        <v>2</v>
      </c>
      <c r="P284" s="3"/>
    </row>
    <row r="285" spans="1:16" x14ac:dyDescent="0.3">
      <c r="A285" t="s">
        <v>131</v>
      </c>
      <c r="B285" t="s">
        <v>382</v>
      </c>
      <c r="C285">
        <v>0</v>
      </c>
      <c r="D285">
        <v>0</v>
      </c>
      <c r="E285">
        <v>0</v>
      </c>
      <c r="F285">
        <v>142</v>
      </c>
      <c r="G285">
        <v>48</v>
      </c>
      <c r="H285">
        <v>2</v>
      </c>
      <c r="I285">
        <v>11</v>
      </c>
      <c r="J285">
        <v>11</v>
      </c>
      <c r="K285">
        <v>0</v>
      </c>
      <c r="L285">
        <v>1</v>
      </c>
      <c r="M285">
        <v>215</v>
      </c>
      <c r="P285" s="4"/>
    </row>
    <row r="286" spans="1:16" x14ac:dyDescent="0.3">
      <c r="A286" t="s">
        <v>131</v>
      </c>
      <c r="B286" t="s">
        <v>383</v>
      </c>
      <c r="C286">
        <v>0</v>
      </c>
      <c r="D286">
        <v>27</v>
      </c>
      <c r="E286">
        <v>777</v>
      </c>
      <c r="F286">
        <v>473</v>
      </c>
      <c r="G286">
        <v>1150</v>
      </c>
      <c r="H286">
        <v>243</v>
      </c>
      <c r="I286">
        <v>121</v>
      </c>
      <c r="J286">
        <v>421</v>
      </c>
      <c r="K286">
        <v>751</v>
      </c>
      <c r="L286">
        <v>495</v>
      </c>
      <c r="M286">
        <v>4458</v>
      </c>
      <c r="P286" s="3"/>
    </row>
    <row r="287" spans="1:16" x14ac:dyDescent="0.3">
      <c r="A287" t="s">
        <v>131</v>
      </c>
      <c r="B287" t="s">
        <v>384</v>
      </c>
      <c r="C287">
        <v>1</v>
      </c>
      <c r="D287">
        <v>4</v>
      </c>
      <c r="E287">
        <v>130</v>
      </c>
      <c r="F287">
        <v>2</v>
      </c>
      <c r="G287">
        <v>0</v>
      </c>
      <c r="H287">
        <v>1</v>
      </c>
      <c r="I287">
        <v>0</v>
      </c>
      <c r="J287">
        <v>0</v>
      </c>
      <c r="K287">
        <v>0</v>
      </c>
      <c r="L287">
        <v>0</v>
      </c>
      <c r="M287">
        <v>138</v>
      </c>
      <c r="P287" s="4"/>
    </row>
    <row r="288" spans="1:16" x14ac:dyDescent="0.3">
      <c r="A288" t="s">
        <v>133</v>
      </c>
      <c r="B288" t="s">
        <v>385</v>
      </c>
      <c r="C288">
        <v>0</v>
      </c>
      <c r="D288">
        <v>0</v>
      </c>
      <c r="E288">
        <v>0</v>
      </c>
      <c r="F288">
        <v>0</v>
      </c>
      <c r="G288">
        <v>0</v>
      </c>
      <c r="H288">
        <v>0</v>
      </c>
      <c r="I288">
        <v>0</v>
      </c>
      <c r="J288">
        <v>0</v>
      </c>
      <c r="K288">
        <v>5</v>
      </c>
      <c r="L288">
        <v>0</v>
      </c>
      <c r="M288">
        <v>5</v>
      </c>
      <c r="P288" s="3"/>
    </row>
    <row r="289" spans="1:16" x14ac:dyDescent="0.3">
      <c r="A289" t="s">
        <v>131</v>
      </c>
      <c r="B289" t="s">
        <v>385</v>
      </c>
      <c r="C289">
        <v>0</v>
      </c>
      <c r="D289">
        <v>0</v>
      </c>
      <c r="E289">
        <v>0</v>
      </c>
      <c r="F289">
        <v>0</v>
      </c>
      <c r="G289">
        <v>0</v>
      </c>
      <c r="H289">
        <v>0</v>
      </c>
      <c r="I289">
        <v>448</v>
      </c>
      <c r="J289">
        <v>1381</v>
      </c>
      <c r="K289">
        <v>1296</v>
      </c>
      <c r="L289">
        <v>479</v>
      </c>
      <c r="M289">
        <v>3604</v>
      </c>
      <c r="P289" s="4"/>
    </row>
    <row r="290" spans="1:16" x14ac:dyDescent="0.3">
      <c r="A290" t="s">
        <v>131</v>
      </c>
      <c r="B290" t="s">
        <v>386</v>
      </c>
      <c r="C290">
        <v>0</v>
      </c>
      <c r="D290">
        <v>0</v>
      </c>
      <c r="E290">
        <v>0</v>
      </c>
      <c r="F290">
        <v>0</v>
      </c>
      <c r="G290">
        <v>0</v>
      </c>
      <c r="H290">
        <v>1</v>
      </c>
      <c r="I290">
        <v>0</v>
      </c>
      <c r="J290">
        <v>0</v>
      </c>
      <c r="K290">
        <v>0</v>
      </c>
      <c r="L290">
        <v>0</v>
      </c>
      <c r="M290">
        <v>1</v>
      </c>
      <c r="P290" s="3"/>
    </row>
    <row r="291" spans="1:16" x14ac:dyDescent="0.3">
      <c r="A291" t="s">
        <v>133</v>
      </c>
      <c r="B291" t="s">
        <v>387</v>
      </c>
      <c r="C291">
        <v>0</v>
      </c>
      <c r="D291">
        <v>0</v>
      </c>
      <c r="E291">
        <v>0</v>
      </c>
      <c r="F291">
        <v>0</v>
      </c>
      <c r="G291">
        <v>0</v>
      </c>
      <c r="H291">
        <v>0</v>
      </c>
      <c r="I291">
        <v>0</v>
      </c>
      <c r="J291">
        <v>0</v>
      </c>
      <c r="K291">
        <v>0</v>
      </c>
      <c r="L291">
        <v>1</v>
      </c>
      <c r="M291">
        <v>1</v>
      </c>
      <c r="P291" s="4"/>
    </row>
    <row r="292" spans="1:16" x14ac:dyDescent="0.3">
      <c r="A292" t="s">
        <v>131</v>
      </c>
      <c r="B292" t="s">
        <v>388</v>
      </c>
      <c r="C292">
        <v>0</v>
      </c>
      <c r="D292">
        <v>0</v>
      </c>
      <c r="E292">
        <v>0</v>
      </c>
      <c r="F292">
        <v>0</v>
      </c>
      <c r="G292">
        <v>3</v>
      </c>
      <c r="H292">
        <v>23</v>
      </c>
      <c r="I292">
        <v>74</v>
      </c>
      <c r="J292">
        <v>129</v>
      </c>
      <c r="K292">
        <v>240</v>
      </c>
      <c r="L292">
        <v>86</v>
      </c>
      <c r="M292">
        <v>555</v>
      </c>
      <c r="P292" s="3"/>
    </row>
    <row r="293" spans="1:16" x14ac:dyDescent="0.3">
      <c r="A293" t="s">
        <v>131</v>
      </c>
      <c r="B293" t="s">
        <v>389</v>
      </c>
      <c r="C293">
        <v>0</v>
      </c>
      <c r="D293">
        <v>0</v>
      </c>
      <c r="E293">
        <v>0</v>
      </c>
      <c r="F293">
        <v>0</v>
      </c>
      <c r="G293">
        <v>0</v>
      </c>
      <c r="H293">
        <v>0</v>
      </c>
      <c r="I293">
        <v>0</v>
      </c>
      <c r="J293">
        <v>1</v>
      </c>
      <c r="K293">
        <v>17</v>
      </c>
      <c r="L293">
        <v>16</v>
      </c>
      <c r="M293">
        <v>34</v>
      </c>
      <c r="P293" s="4"/>
    </row>
    <row r="294" spans="1:16" x14ac:dyDescent="0.3">
      <c r="A294" t="s">
        <v>131</v>
      </c>
      <c r="B294" t="s">
        <v>390</v>
      </c>
      <c r="C294">
        <v>0</v>
      </c>
      <c r="D294">
        <v>0</v>
      </c>
      <c r="E294">
        <v>0</v>
      </c>
      <c r="F294">
        <v>0</v>
      </c>
      <c r="G294">
        <v>0</v>
      </c>
      <c r="H294">
        <v>0</v>
      </c>
      <c r="I294">
        <v>19</v>
      </c>
      <c r="J294">
        <v>47</v>
      </c>
      <c r="K294">
        <v>74</v>
      </c>
      <c r="L294">
        <v>55</v>
      </c>
      <c r="M294">
        <v>195</v>
      </c>
      <c r="P294" s="3"/>
    </row>
    <row r="295" spans="1:16" x14ac:dyDescent="0.3">
      <c r="A295" t="s">
        <v>133</v>
      </c>
      <c r="B295" t="s">
        <v>391</v>
      </c>
      <c r="C295">
        <v>0</v>
      </c>
      <c r="D295">
        <v>0</v>
      </c>
      <c r="E295">
        <v>0</v>
      </c>
      <c r="F295">
        <v>0</v>
      </c>
      <c r="G295">
        <v>0</v>
      </c>
      <c r="H295">
        <v>20</v>
      </c>
      <c r="I295">
        <v>280</v>
      </c>
      <c r="J295">
        <v>728</v>
      </c>
      <c r="K295">
        <v>595</v>
      </c>
      <c r="L295">
        <v>127</v>
      </c>
      <c r="M295">
        <v>1750</v>
      </c>
      <c r="P295" s="4"/>
    </row>
    <row r="296" spans="1:16" x14ac:dyDescent="0.3">
      <c r="A296" t="s">
        <v>131</v>
      </c>
      <c r="B296" t="s">
        <v>392</v>
      </c>
      <c r="C296">
        <v>0</v>
      </c>
      <c r="D296">
        <v>0</v>
      </c>
      <c r="E296">
        <v>0</v>
      </c>
      <c r="F296">
        <v>115</v>
      </c>
      <c r="G296">
        <v>58</v>
      </c>
      <c r="H296">
        <v>14</v>
      </c>
      <c r="I296">
        <v>154</v>
      </c>
      <c r="J296">
        <v>453</v>
      </c>
      <c r="K296">
        <v>1245</v>
      </c>
      <c r="L296">
        <v>816</v>
      </c>
      <c r="M296">
        <v>2855</v>
      </c>
      <c r="P296" s="3"/>
    </row>
    <row r="297" spans="1:16" x14ac:dyDescent="0.3">
      <c r="A297" t="s">
        <v>133</v>
      </c>
      <c r="B297" t="s">
        <v>393</v>
      </c>
      <c r="C297">
        <v>0</v>
      </c>
      <c r="D297">
        <v>0</v>
      </c>
      <c r="E297">
        <v>0</v>
      </c>
      <c r="F297">
        <v>0</v>
      </c>
      <c r="G297">
        <v>0</v>
      </c>
      <c r="H297">
        <v>0</v>
      </c>
      <c r="I297">
        <v>0</v>
      </c>
      <c r="J297">
        <v>0</v>
      </c>
      <c r="K297">
        <v>0</v>
      </c>
      <c r="L297">
        <v>44</v>
      </c>
      <c r="M297">
        <v>44</v>
      </c>
      <c r="P297" s="4"/>
    </row>
    <row r="298" spans="1:16" x14ac:dyDescent="0.3">
      <c r="A298" t="s">
        <v>131</v>
      </c>
      <c r="B298" t="s">
        <v>394</v>
      </c>
      <c r="C298">
        <v>0</v>
      </c>
      <c r="D298">
        <v>0</v>
      </c>
      <c r="E298">
        <v>18</v>
      </c>
      <c r="F298">
        <v>61</v>
      </c>
      <c r="G298">
        <v>147</v>
      </c>
      <c r="H298">
        <v>53</v>
      </c>
      <c r="I298">
        <v>9</v>
      </c>
      <c r="J298">
        <v>29</v>
      </c>
      <c r="K298">
        <v>1</v>
      </c>
      <c r="L298">
        <v>165</v>
      </c>
      <c r="M298">
        <v>483</v>
      </c>
      <c r="P298" s="3"/>
    </row>
    <row r="299" spans="1:16" x14ac:dyDescent="0.3">
      <c r="A299" t="s">
        <v>131</v>
      </c>
      <c r="B299" t="s">
        <v>395</v>
      </c>
      <c r="C299">
        <v>0</v>
      </c>
      <c r="D299">
        <v>0</v>
      </c>
      <c r="E299">
        <v>0</v>
      </c>
      <c r="F299">
        <v>0</v>
      </c>
      <c r="G299">
        <v>7</v>
      </c>
      <c r="H299">
        <v>8</v>
      </c>
      <c r="I299">
        <v>8</v>
      </c>
      <c r="J299">
        <v>4</v>
      </c>
      <c r="K299">
        <v>7</v>
      </c>
      <c r="L299">
        <v>0</v>
      </c>
      <c r="M299">
        <v>34</v>
      </c>
      <c r="P299" s="4"/>
    </row>
    <row r="300" spans="1:16" x14ac:dyDescent="0.3">
      <c r="A300" t="s">
        <v>131</v>
      </c>
      <c r="B300" t="s">
        <v>396</v>
      </c>
      <c r="C300">
        <v>0</v>
      </c>
      <c r="D300">
        <v>0</v>
      </c>
      <c r="E300">
        <v>0</v>
      </c>
      <c r="F300">
        <v>0</v>
      </c>
      <c r="G300">
        <v>2</v>
      </c>
      <c r="H300">
        <v>0</v>
      </c>
      <c r="I300">
        <v>0</v>
      </c>
      <c r="J300">
        <v>0</v>
      </c>
      <c r="K300">
        <v>0</v>
      </c>
      <c r="L300">
        <v>0</v>
      </c>
      <c r="M300">
        <v>2</v>
      </c>
      <c r="P300" s="3"/>
    </row>
    <row r="301" spans="1:16" x14ac:dyDescent="0.3">
      <c r="A301" t="s">
        <v>131</v>
      </c>
      <c r="B301" t="s">
        <v>397</v>
      </c>
      <c r="C301">
        <v>0</v>
      </c>
      <c r="D301">
        <v>1</v>
      </c>
      <c r="E301">
        <v>4</v>
      </c>
      <c r="F301">
        <v>0</v>
      </c>
      <c r="G301">
        <v>0</v>
      </c>
      <c r="H301">
        <v>0</v>
      </c>
      <c r="I301">
        <v>0</v>
      </c>
      <c r="J301">
        <v>0</v>
      </c>
      <c r="K301">
        <v>0</v>
      </c>
      <c r="L301">
        <v>0</v>
      </c>
      <c r="M301">
        <v>5</v>
      </c>
      <c r="P301" s="4"/>
    </row>
    <row r="302" spans="1:16" x14ac:dyDescent="0.3">
      <c r="A302" t="s">
        <v>131</v>
      </c>
      <c r="B302" t="s">
        <v>398</v>
      </c>
      <c r="C302">
        <v>0</v>
      </c>
      <c r="D302">
        <v>0</v>
      </c>
      <c r="E302">
        <v>0</v>
      </c>
      <c r="F302">
        <v>0</v>
      </c>
      <c r="G302">
        <v>16</v>
      </c>
      <c r="H302">
        <v>29</v>
      </c>
      <c r="I302">
        <v>36</v>
      </c>
      <c r="J302">
        <v>49</v>
      </c>
      <c r="K302">
        <v>89</v>
      </c>
      <c r="L302">
        <v>20</v>
      </c>
      <c r="M302">
        <v>239</v>
      </c>
      <c r="P302" s="3"/>
    </row>
    <row r="303" spans="1:16" x14ac:dyDescent="0.3">
      <c r="A303" t="s">
        <v>131</v>
      </c>
      <c r="B303" t="s">
        <v>399</v>
      </c>
      <c r="C303">
        <v>0</v>
      </c>
      <c r="D303">
        <v>0</v>
      </c>
      <c r="E303">
        <v>0</v>
      </c>
      <c r="F303">
        <v>11</v>
      </c>
      <c r="G303">
        <v>13</v>
      </c>
      <c r="H303">
        <v>5</v>
      </c>
      <c r="I303">
        <v>14</v>
      </c>
      <c r="J303">
        <v>20</v>
      </c>
      <c r="K303">
        <v>1</v>
      </c>
      <c r="L303">
        <v>0</v>
      </c>
      <c r="M303">
        <v>64</v>
      </c>
      <c r="P303" s="4"/>
    </row>
    <row r="304" spans="1:16" x14ac:dyDescent="0.3">
      <c r="A304" t="s">
        <v>131</v>
      </c>
      <c r="B304" t="s">
        <v>400</v>
      </c>
      <c r="C304">
        <v>0</v>
      </c>
      <c r="D304">
        <v>0</v>
      </c>
      <c r="E304">
        <v>0</v>
      </c>
      <c r="F304">
        <v>0</v>
      </c>
      <c r="G304">
        <v>0</v>
      </c>
      <c r="H304">
        <v>0</v>
      </c>
      <c r="I304">
        <v>0</v>
      </c>
      <c r="J304">
        <v>82</v>
      </c>
      <c r="K304">
        <v>526</v>
      </c>
      <c r="L304">
        <v>170</v>
      </c>
      <c r="M304">
        <v>778</v>
      </c>
      <c r="P304" s="3"/>
    </row>
    <row r="305" spans="1:16" x14ac:dyDescent="0.3">
      <c r="A305" t="s">
        <v>131</v>
      </c>
      <c r="B305" t="s">
        <v>401</v>
      </c>
      <c r="C305">
        <v>0</v>
      </c>
      <c r="D305">
        <v>0</v>
      </c>
      <c r="E305">
        <v>0</v>
      </c>
      <c r="F305">
        <v>0</v>
      </c>
      <c r="G305">
        <v>0</v>
      </c>
      <c r="H305">
        <v>0</v>
      </c>
      <c r="I305">
        <v>0</v>
      </c>
      <c r="J305">
        <v>12</v>
      </c>
      <c r="K305">
        <v>125</v>
      </c>
      <c r="L305">
        <v>202</v>
      </c>
      <c r="M305">
        <v>339</v>
      </c>
      <c r="P305" s="4"/>
    </row>
    <row r="306" spans="1:16" x14ac:dyDescent="0.3">
      <c r="A306" t="s">
        <v>131</v>
      </c>
      <c r="B306" t="s">
        <v>402</v>
      </c>
      <c r="C306">
        <v>0</v>
      </c>
      <c r="D306">
        <v>0</v>
      </c>
      <c r="E306">
        <v>1</v>
      </c>
      <c r="F306">
        <v>0</v>
      </c>
      <c r="G306">
        <v>0</v>
      </c>
      <c r="H306">
        <v>0</v>
      </c>
      <c r="I306">
        <v>0</v>
      </c>
      <c r="J306">
        <v>0</v>
      </c>
      <c r="K306">
        <v>0</v>
      </c>
      <c r="L306">
        <v>0</v>
      </c>
      <c r="M306">
        <v>1</v>
      </c>
      <c r="P306" s="3"/>
    </row>
    <row r="307" spans="1:16" x14ac:dyDescent="0.3">
      <c r="A307" t="s">
        <v>136</v>
      </c>
      <c r="B307" t="s">
        <v>402</v>
      </c>
      <c r="C307">
        <v>0</v>
      </c>
      <c r="D307">
        <v>3</v>
      </c>
      <c r="E307">
        <v>0</v>
      </c>
      <c r="F307">
        <v>0</v>
      </c>
      <c r="G307">
        <v>0</v>
      </c>
      <c r="H307">
        <v>0</v>
      </c>
      <c r="I307">
        <v>0</v>
      </c>
      <c r="J307">
        <v>0</v>
      </c>
      <c r="K307">
        <v>0</v>
      </c>
      <c r="L307">
        <v>0</v>
      </c>
      <c r="M307">
        <v>3</v>
      </c>
      <c r="P307" s="4"/>
    </row>
    <row r="308" spans="1:16" x14ac:dyDescent="0.3">
      <c r="A308" t="s">
        <v>133</v>
      </c>
      <c r="B308" t="s">
        <v>403</v>
      </c>
      <c r="C308">
        <v>0</v>
      </c>
      <c r="D308">
        <v>0</v>
      </c>
      <c r="E308">
        <v>0</v>
      </c>
      <c r="F308">
        <v>0</v>
      </c>
      <c r="G308">
        <v>1</v>
      </c>
      <c r="H308">
        <v>0</v>
      </c>
      <c r="I308">
        <v>0</v>
      </c>
      <c r="J308">
        <v>0</v>
      </c>
      <c r="K308">
        <v>0</v>
      </c>
      <c r="L308">
        <v>0</v>
      </c>
      <c r="M308">
        <v>1</v>
      </c>
      <c r="P308" s="3"/>
    </row>
    <row r="309" spans="1:16" x14ac:dyDescent="0.3">
      <c r="A309" t="s">
        <v>136</v>
      </c>
      <c r="B309" t="s">
        <v>404</v>
      </c>
      <c r="C309">
        <v>4</v>
      </c>
      <c r="D309">
        <v>2</v>
      </c>
      <c r="E309">
        <v>4</v>
      </c>
      <c r="F309">
        <v>0</v>
      </c>
      <c r="G309">
        <v>0</v>
      </c>
      <c r="H309">
        <v>0</v>
      </c>
      <c r="I309">
        <v>0</v>
      </c>
      <c r="J309">
        <v>0</v>
      </c>
      <c r="K309">
        <v>0</v>
      </c>
      <c r="L309">
        <v>0</v>
      </c>
      <c r="M309">
        <v>10</v>
      </c>
      <c r="P309" s="4"/>
    </row>
    <row r="310" spans="1:16" x14ac:dyDescent="0.3">
      <c r="A310" t="s">
        <v>133</v>
      </c>
      <c r="B310" t="s">
        <v>405</v>
      </c>
      <c r="C310">
        <v>10</v>
      </c>
      <c r="D310">
        <v>0</v>
      </c>
      <c r="E310">
        <v>8</v>
      </c>
      <c r="F310">
        <v>0</v>
      </c>
      <c r="G310">
        <v>0</v>
      </c>
      <c r="H310">
        <v>0</v>
      </c>
      <c r="I310">
        <v>0</v>
      </c>
      <c r="J310">
        <v>0</v>
      </c>
      <c r="K310">
        <v>0</v>
      </c>
      <c r="L310">
        <v>0</v>
      </c>
      <c r="M310">
        <v>18</v>
      </c>
      <c r="P310" s="3"/>
    </row>
    <row r="311" spans="1:16" x14ac:dyDescent="0.3">
      <c r="A311" t="s">
        <v>131</v>
      </c>
      <c r="B311" t="s">
        <v>405</v>
      </c>
      <c r="C311">
        <v>0</v>
      </c>
      <c r="D311">
        <v>1</v>
      </c>
      <c r="E311">
        <v>0</v>
      </c>
      <c r="F311">
        <v>0</v>
      </c>
      <c r="G311">
        <v>0</v>
      </c>
      <c r="H311">
        <v>0</v>
      </c>
      <c r="I311">
        <v>0</v>
      </c>
      <c r="J311">
        <v>0</v>
      </c>
      <c r="K311">
        <v>0</v>
      </c>
      <c r="L311">
        <v>0</v>
      </c>
      <c r="M311">
        <v>1</v>
      </c>
      <c r="P311" s="4"/>
    </row>
    <row r="312" spans="1:16" x14ac:dyDescent="0.3">
      <c r="A312" t="s">
        <v>131</v>
      </c>
      <c r="B312" t="s">
        <v>406</v>
      </c>
      <c r="C312">
        <v>0</v>
      </c>
      <c r="D312">
        <v>0</v>
      </c>
      <c r="E312">
        <v>39</v>
      </c>
      <c r="F312">
        <v>58</v>
      </c>
      <c r="G312">
        <v>23</v>
      </c>
      <c r="H312">
        <v>19</v>
      </c>
      <c r="I312">
        <v>0</v>
      </c>
      <c r="J312">
        <v>0</v>
      </c>
      <c r="K312">
        <v>7</v>
      </c>
      <c r="L312">
        <v>8</v>
      </c>
      <c r="M312">
        <v>154</v>
      </c>
      <c r="P312" s="3"/>
    </row>
    <row r="313" spans="1:16" x14ac:dyDescent="0.3">
      <c r="A313" t="s">
        <v>133</v>
      </c>
      <c r="B313" t="s">
        <v>407</v>
      </c>
      <c r="C313">
        <v>0</v>
      </c>
      <c r="D313">
        <v>0</v>
      </c>
      <c r="E313">
        <v>0</v>
      </c>
      <c r="F313">
        <v>0</v>
      </c>
      <c r="G313">
        <v>2</v>
      </c>
      <c r="H313">
        <v>9</v>
      </c>
      <c r="I313">
        <v>40</v>
      </c>
      <c r="J313">
        <v>93</v>
      </c>
      <c r="K313">
        <v>72</v>
      </c>
      <c r="L313">
        <v>40</v>
      </c>
      <c r="M313">
        <v>256</v>
      </c>
      <c r="P313" s="4"/>
    </row>
    <row r="314" spans="1:16" x14ac:dyDescent="0.3">
      <c r="A314" t="s">
        <v>131</v>
      </c>
      <c r="B314" t="s">
        <v>407</v>
      </c>
      <c r="C314">
        <v>0</v>
      </c>
      <c r="D314">
        <v>0</v>
      </c>
      <c r="E314">
        <v>0</v>
      </c>
      <c r="F314">
        <v>4</v>
      </c>
      <c r="G314">
        <v>181</v>
      </c>
      <c r="H314">
        <v>29</v>
      </c>
      <c r="I314">
        <v>9</v>
      </c>
      <c r="J314">
        <v>0</v>
      </c>
      <c r="K314">
        <v>0</v>
      </c>
      <c r="L314">
        <v>0</v>
      </c>
      <c r="M314">
        <v>223</v>
      </c>
      <c r="P314" s="3"/>
    </row>
    <row r="315" spans="1:16" x14ac:dyDescent="0.3">
      <c r="A315" t="s">
        <v>133</v>
      </c>
      <c r="B315" t="s">
        <v>408</v>
      </c>
      <c r="C315">
        <v>0</v>
      </c>
      <c r="D315">
        <v>0</v>
      </c>
      <c r="E315">
        <v>0</v>
      </c>
      <c r="F315">
        <v>0</v>
      </c>
      <c r="G315">
        <v>0</v>
      </c>
      <c r="H315">
        <v>0</v>
      </c>
      <c r="I315">
        <v>0</v>
      </c>
      <c r="J315">
        <v>0</v>
      </c>
      <c r="K315">
        <v>43</v>
      </c>
      <c r="L315">
        <v>2</v>
      </c>
      <c r="M315">
        <v>45</v>
      </c>
      <c r="P315" s="4"/>
    </row>
    <row r="316" spans="1:16" x14ac:dyDescent="0.3">
      <c r="A316" t="s">
        <v>131</v>
      </c>
      <c r="B316" t="s">
        <v>409</v>
      </c>
      <c r="C316">
        <v>0</v>
      </c>
      <c r="D316">
        <v>0</v>
      </c>
      <c r="E316">
        <v>0</v>
      </c>
      <c r="F316">
        <v>0</v>
      </c>
      <c r="G316">
        <v>0</v>
      </c>
      <c r="H316">
        <v>0</v>
      </c>
      <c r="I316">
        <v>0</v>
      </c>
      <c r="J316">
        <v>0</v>
      </c>
      <c r="K316">
        <v>1</v>
      </c>
      <c r="L316">
        <v>0</v>
      </c>
      <c r="M316">
        <v>1</v>
      </c>
      <c r="P316" s="3"/>
    </row>
    <row r="317" spans="1:16" x14ac:dyDescent="0.3">
      <c r="A317" t="s">
        <v>133</v>
      </c>
      <c r="B317" t="s">
        <v>410</v>
      </c>
      <c r="C317">
        <v>178</v>
      </c>
      <c r="D317">
        <v>136</v>
      </c>
      <c r="E317">
        <v>26</v>
      </c>
      <c r="F317">
        <v>4</v>
      </c>
      <c r="G317">
        <v>0</v>
      </c>
      <c r="H317">
        <v>0</v>
      </c>
      <c r="I317">
        <v>0</v>
      </c>
      <c r="J317">
        <v>0</v>
      </c>
      <c r="K317">
        <v>0</v>
      </c>
      <c r="L317">
        <v>0</v>
      </c>
      <c r="M317">
        <v>344</v>
      </c>
      <c r="P317" s="4"/>
    </row>
    <row r="318" spans="1:16" x14ac:dyDescent="0.3">
      <c r="A318" t="s">
        <v>131</v>
      </c>
      <c r="B318" t="s">
        <v>410</v>
      </c>
      <c r="C318">
        <v>44</v>
      </c>
      <c r="D318">
        <v>763</v>
      </c>
      <c r="E318">
        <v>919</v>
      </c>
      <c r="F318">
        <v>147</v>
      </c>
      <c r="G318">
        <v>10</v>
      </c>
      <c r="H318">
        <v>0</v>
      </c>
      <c r="I318">
        <v>0</v>
      </c>
      <c r="J318">
        <v>0</v>
      </c>
      <c r="K318">
        <v>0</v>
      </c>
      <c r="L318">
        <v>0</v>
      </c>
      <c r="M318">
        <v>1883</v>
      </c>
      <c r="P318" s="3"/>
    </row>
    <row r="319" spans="1:16" x14ac:dyDescent="0.3">
      <c r="A319" t="s">
        <v>136</v>
      </c>
      <c r="B319" t="s">
        <v>410</v>
      </c>
      <c r="C319">
        <v>0</v>
      </c>
      <c r="D319">
        <v>1</v>
      </c>
      <c r="E319">
        <v>11</v>
      </c>
      <c r="F319">
        <v>1</v>
      </c>
      <c r="G319">
        <v>0</v>
      </c>
      <c r="H319">
        <v>0</v>
      </c>
      <c r="I319">
        <v>0</v>
      </c>
      <c r="J319">
        <v>0</v>
      </c>
      <c r="K319">
        <v>0</v>
      </c>
      <c r="L319">
        <v>0</v>
      </c>
      <c r="M319">
        <v>13</v>
      </c>
      <c r="P319" s="4"/>
    </row>
    <row r="320" spans="1:16" x14ac:dyDescent="0.3">
      <c r="A320" t="s">
        <v>133</v>
      </c>
      <c r="B320" t="s">
        <v>411</v>
      </c>
      <c r="C320">
        <v>0</v>
      </c>
      <c r="D320">
        <v>0</v>
      </c>
      <c r="E320">
        <v>15</v>
      </c>
      <c r="F320">
        <v>48</v>
      </c>
      <c r="G320">
        <v>2</v>
      </c>
      <c r="H320">
        <v>0</v>
      </c>
      <c r="I320">
        <v>0</v>
      </c>
      <c r="J320">
        <v>0</v>
      </c>
      <c r="K320">
        <v>0</v>
      </c>
      <c r="L320">
        <v>0</v>
      </c>
      <c r="M320">
        <v>65</v>
      </c>
      <c r="P320" s="3"/>
    </row>
    <row r="321" spans="1:16" x14ac:dyDescent="0.3">
      <c r="A321" t="s">
        <v>131</v>
      </c>
      <c r="B321" t="s">
        <v>411</v>
      </c>
      <c r="C321">
        <v>1</v>
      </c>
      <c r="D321">
        <v>282</v>
      </c>
      <c r="E321">
        <v>627</v>
      </c>
      <c r="F321">
        <v>1184</v>
      </c>
      <c r="G321">
        <v>270</v>
      </c>
      <c r="H321">
        <v>60</v>
      </c>
      <c r="I321">
        <v>35</v>
      </c>
      <c r="J321">
        <v>5</v>
      </c>
      <c r="K321">
        <v>4</v>
      </c>
      <c r="L321">
        <v>0</v>
      </c>
      <c r="M321">
        <v>2468</v>
      </c>
      <c r="P321" s="4"/>
    </row>
    <row r="322" spans="1:16" x14ac:dyDescent="0.3">
      <c r="A322" t="s">
        <v>136</v>
      </c>
      <c r="B322" t="s">
        <v>411</v>
      </c>
      <c r="C322">
        <v>0</v>
      </c>
      <c r="D322">
        <v>0</v>
      </c>
      <c r="E322">
        <v>0</v>
      </c>
      <c r="F322">
        <v>1</v>
      </c>
      <c r="G322">
        <v>0</v>
      </c>
      <c r="H322">
        <v>0</v>
      </c>
      <c r="I322">
        <v>0</v>
      </c>
      <c r="J322">
        <v>0</v>
      </c>
      <c r="K322">
        <v>0</v>
      </c>
      <c r="L322">
        <v>0</v>
      </c>
      <c r="M322">
        <v>1</v>
      </c>
      <c r="P322" s="3"/>
    </row>
    <row r="323" spans="1:16" x14ac:dyDescent="0.3">
      <c r="A323" t="s">
        <v>131</v>
      </c>
      <c r="B323" t="s">
        <v>412</v>
      </c>
      <c r="C323">
        <v>0</v>
      </c>
      <c r="D323">
        <v>0</v>
      </c>
      <c r="E323">
        <v>0</v>
      </c>
      <c r="F323">
        <v>0</v>
      </c>
      <c r="G323">
        <v>53</v>
      </c>
      <c r="H323">
        <v>33</v>
      </c>
      <c r="I323">
        <v>18</v>
      </c>
      <c r="J323">
        <v>49</v>
      </c>
      <c r="K323">
        <v>11</v>
      </c>
      <c r="L323">
        <v>8</v>
      </c>
      <c r="M323">
        <v>172</v>
      </c>
      <c r="P323" s="4"/>
    </row>
    <row r="324" spans="1:16" x14ac:dyDescent="0.3">
      <c r="A324" t="s">
        <v>131</v>
      </c>
      <c r="B324" t="s">
        <v>413</v>
      </c>
      <c r="C324">
        <v>0</v>
      </c>
      <c r="D324">
        <v>0</v>
      </c>
      <c r="E324">
        <v>2</v>
      </c>
      <c r="F324">
        <v>0</v>
      </c>
      <c r="G324">
        <v>0</v>
      </c>
      <c r="H324">
        <v>0</v>
      </c>
      <c r="I324">
        <v>0</v>
      </c>
      <c r="J324">
        <v>0</v>
      </c>
      <c r="K324">
        <v>0</v>
      </c>
      <c r="L324">
        <v>0</v>
      </c>
      <c r="M324">
        <v>2</v>
      </c>
      <c r="P324" s="3"/>
    </row>
    <row r="325" spans="1:16" x14ac:dyDescent="0.3">
      <c r="A325" t="s">
        <v>131</v>
      </c>
      <c r="B325" t="s">
        <v>414</v>
      </c>
      <c r="C325">
        <v>0</v>
      </c>
      <c r="D325">
        <v>55</v>
      </c>
      <c r="E325">
        <v>50</v>
      </c>
      <c r="F325">
        <v>85</v>
      </c>
      <c r="G325">
        <v>16</v>
      </c>
      <c r="H325">
        <v>75</v>
      </c>
      <c r="I325">
        <v>229</v>
      </c>
      <c r="J325">
        <v>509</v>
      </c>
      <c r="K325">
        <v>1200</v>
      </c>
      <c r="L325">
        <v>934</v>
      </c>
      <c r="M325">
        <v>3153</v>
      </c>
      <c r="P325" s="4"/>
    </row>
    <row r="326" spans="1:16" x14ac:dyDescent="0.3">
      <c r="A326" t="s">
        <v>133</v>
      </c>
      <c r="B326" t="s">
        <v>415</v>
      </c>
      <c r="C326">
        <v>0</v>
      </c>
      <c r="D326">
        <v>0</v>
      </c>
      <c r="E326">
        <v>0</v>
      </c>
      <c r="F326">
        <v>0</v>
      </c>
      <c r="G326">
        <v>0</v>
      </c>
      <c r="H326">
        <v>0</v>
      </c>
      <c r="I326">
        <v>402</v>
      </c>
      <c r="J326">
        <v>735</v>
      </c>
      <c r="K326">
        <v>230</v>
      </c>
      <c r="L326">
        <v>82</v>
      </c>
      <c r="M326">
        <v>1449</v>
      </c>
      <c r="P326" s="3"/>
    </row>
    <row r="327" spans="1:16" x14ac:dyDescent="0.3">
      <c r="A327" t="s">
        <v>133</v>
      </c>
      <c r="B327" t="s">
        <v>416</v>
      </c>
      <c r="C327">
        <v>0</v>
      </c>
      <c r="D327">
        <v>0</v>
      </c>
      <c r="E327">
        <v>0</v>
      </c>
      <c r="F327">
        <v>0</v>
      </c>
      <c r="G327">
        <v>0</v>
      </c>
      <c r="H327">
        <v>0</v>
      </c>
      <c r="I327">
        <v>3</v>
      </c>
      <c r="J327">
        <v>0</v>
      </c>
      <c r="K327">
        <v>0</v>
      </c>
      <c r="L327">
        <v>0</v>
      </c>
      <c r="M327">
        <v>3</v>
      </c>
      <c r="P327" s="4"/>
    </row>
    <row r="328" spans="1:16" x14ac:dyDescent="0.3">
      <c r="A328" t="s">
        <v>131</v>
      </c>
      <c r="B328" t="s">
        <v>417</v>
      </c>
      <c r="C328">
        <v>0</v>
      </c>
      <c r="D328">
        <v>0</v>
      </c>
      <c r="E328">
        <v>6</v>
      </c>
      <c r="F328">
        <v>61</v>
      </c>
      <c r="G328">
        <v>11</v>
      </c>
      <c r="H328">
        <v>10</v>
      </c>
      <c r="I328">
        <v>108</v>
      </c>
      <c r="J328">
        <v>367</v>
      </c>
      <c r="K328">
        <v>470</v>
      </c>
      <c r="L328">
        <v>259</v>
      </c>
      <c r="M328">
        <v>1292</v>
      </c>
      <c r="P328" s="3"/>
    </row>
    <row r="329" spans="1:16" x14ac:dyDescent="0.3">
      <c r="A329" t="s">
        <v>131</v>
      </c>
      <c r="B329" t="s">
        <v>418</v>
      </c>
      <c r="C329">
        <v>0</v>
      </c>
      <c r="D329">
        <v>361</v>
      </c>
      <c r="E329">
        <v>1928</v>
      </c>
      <c r="F329">
        <v>2606</v>
      </c>
      <c r="G329">
        <v>2407</v>
      </c>
      <c r="H329">
        <v>1324</v>
      </c>
      <c r="I329">
        <v>3070</v>
      </c>
      <c r="J329">
        <v>6263</v>
      </c>
      <c r="K329">
        <v>11080</v>
      </c>
      <c r="L329">
        <v>6782</v>
      </c>
      <c r="M329">
        <v>35821</v>
      </c>
      <c r="P329" s="4"/>
    </row>
    <row r="330" spans="1:16" x14ac:dyDescent="0.3">
      <c r="A330" t="s">
        <v>131</v>
      </c>
      <c r="B330" t="s">
        <v>419</v>
      </c>
      <c r="C330">
        <v>0</v>
      </c>
      <c r="D330">
        <v>0</v>
      </c>
      <c r="E330">
        <v>0</v>
      </c>
      <c r="F330">
        <v>0</v>
      </c>
      <c r="G330">
        <v>0</v>
      </c>
      <c r="H330">
        <v>4</v>
      </c>
      <c r="I330">
        <v>1</v>
      </c>
      <c r="J330">
        <v>0</v>
      </c>
      <c r="K330">
        <v>188</v>
      </c>
      <c r="L330">
        <v>184</v>
      </c>
      <c r="M330">
        <v>377</v>
      </c>
      <c r="P330" s="3"/>
    </row>
    <row r="331" spans="1:16" x14ac:dyDescent="0.3">
      <c r="A331" t="s">
        <v>133</v>
      </c>
      <c r="B331" t="s">
        <v>420</v>
      </c>
      <c r="C331">
        <v>0</v>
      </c>
      <c r="D331">
        <v>0</v>
      </c>
      <c r="E331">
        <v>0</v>
      </c>
      <c r="F331">
        <v>0</v>
      </c>
      <c r="G331">
        <v>0</v>
      </c>
      <c r="H331">
        <v>0</v>
      </c>
      <c r="I331">
        <v>0</v>
      </c>
      <c r="J331">
        <v>141</v>
      </c>
      <c r="K331">
        <v>472</v>
      </c>
      <c r="L331">
        <v>237</v>
      </c>
      <c r="M331">
        <v>850</v>
      </c>
      <c r="P331" s="4"/>
    </row>
    <row r="332" spans="1:16" x14ac:dyDescent="0.3">
      <c r="A332" t="s">
        <v>133</v>
      </c>
      <c r="B332" t="s">
        <v>421</v>
      </c>
      <c r="C332">
        <v>0</v>
      </c>
      <c r="D332">
        <v>0</v>
      </c>
      <c r="E332">
        <v>0</v>
      </c>
      <c r="F332">
        <v>0</v>
      </c>
      <c r="G332">
        <v>0</v>
      </c>
      <c r="H332">
        <v>0</v>
      </c>
      <c r="I332">
        <v>0</v>
      </c>
      <c r="J332">
        <v>0</v>
      </c>
      <c r="K332">
        <v>2</v>
      </c>
      <c r="L332">
        <v>13</v>
      </c>
      <c r="M332">
        <v>15</v>
      </c>
      <c r="P332" s="3"/>
    </row>
    <row r="333" spans="1:16" x14ac:dyDescent="0.3">
      <c r="A333" t="s">
        <v>131</v>
      </c>
      <c r="B333" t="s">
        <v>422</v>
      </c>
      <c r="C333">
        <v>0</v>
      </c>
      <c r="D333">
        <v>177</v>
      </c>
      <c r="E333">
        <v>200</v>
      </c>
      <c r="F333">
        <v>128</v>
      </c>
      <c r="G333">
        <v>101</v>
      </c>
      <c r="H333">
        <v>131</v>
      </c>
      <c r="I333">
        <v>148</v>
      </c>
      <c r="J333">
        <v>188</v>
      </c>
      <c r="K333">
        <v>587</v>
      </c>
      <c r="L333">
        <v>599</v>
      </c>
      <c r="M333">
        <v>2259</v>
      </c>
      <c r="P333" s="4"/>
    </row>
    <row r="334" spans="1:16" x14ac:dyDescent="0.3">
      <c r="A334" t="s">
        <v>131</v>
      </c>
      <c r="B334" t="s">
        <v>423</v>
      </c>
      <c r="C334">
        <v>0</v>
      </c>
      <c r="D334">
        <v>4</v>
      </c>
      <c r="E334">
        <v>185</v>
      </c>
      <c r="F334">
        <v>181</v>
      </c>
      <c r="G334">
        <v>160</v>
      </c>
      <c r="H334">
        <v>55</v>
      </c>
      <c r="I334">
        <v>62</v>
      </c>
      <c r="J334">
        <v>43</v>
      </c>
      <c r="K334">
        <v>31</v>
      </c>
      <c r="L334">
        <v>6</v>
      </c>
      <c r="M334">
        <v>727</v>
      </c>
      <c r="P334" s="3"/>
    </row>
    <row r="335" spans="1:16" x14ac:dyDescent="0.3">
      <c r="A335" t="s">
        <v>131</v>
      </c>
      <c r="B335" t="s">
        <v>424</v>
      </c>
      <c r="C335">
        <v>0</v>
      </c>
      <c r="D335">
        <v>0</v>
      </c>
      <c r="E335">
        <v>0</v>
      </c>
      <c r="F335">
        <v>0</v>
      </c>
      <c r="G335">
        <v>0</v>
      </c>
      <c r="H335">
        <v>0</v>
      </c>
      <c r="I335">
        <v>0</v>
      </c>
      <c r="J335">
        <v>0</v>
      </c>
      <c r="K335">
        <v>55</v>
      </c>
      <c r="L335">
        <v>48</v>
      </c>
      <c r="M335">
        <v>103</v>
      </c>
      <c r="P335" s="4"/>
    </row>
    <row r="336" spans="1:16" x14ac:dyDescent="0.3">
      <c r="A336" t="s">
        <v>136</v>
      </c>
      <c r="B336" t="s">
        <v>424</v>
      </c>
      <c r="C336">
        <v>0</v>
      </c>
      <c r="D336">
        <v>0</v>
      </c>
      <c r="E336">
        <v>0</v>
      </c>
      <c r="F336">
        <v>0</v>
      </c>
      <c r="G336">
        <v>0</v>
      </c>
      <c r="H336">
        <v>0</v>
      </c>
      <c r="I336">
        <v>0</v>
      </c>
      <c r="J336">
        <v>0</v>
      </c>
      <c r="K336">
        <v>1</v>
      </c>
      <c r="L336">
        <v>1</v>
      </c>
      <c r="M336">
        <v>2</v>
      </c>
      <c r="P336" s="3"/>
    </row>
    <row r="337" spans="1:16" x14ac:dyDescent="0.3">
      <c r="A337" t="s">
        <v>131</v>
      </c>
      <c r="B337" t="s">
        <v>425</v>
      </c>
      <c r="C337">
        <v>0</v>
      </c>
      <c r="D337">
        <v>1</v>
      </c>
      <c r="E337">
        <v>0</v>
      </c>
      <c r="F337">
        <v>0</v>
      </c>
      <c r="G337">
        <v>0</v>
      </c>
      <c r="H337">
        <v>0</v>
      </c>
      <c r="I337">
        <v>0</v>
      </c>
      <c r="J337">
        <v>0</v>
      </c>
      <c r="K337">
        <v>0</v>
      </c>
      <c r="L337">
        <v>0</v>
      </c>
      <c r="M337">
        <v>1</v>
      </c>
      <c r="P337" s="4"/>
    </row>
    <row r="338" spans="1:16" x14ac:dyDescent="0.3">
      <c r="A338" t="s">
        <v>136</v>
      </c>
      <c r="B338" t="s">
        <v>426</v>
      </c>
      <c r="C338">
        <v>0</v>
      </c>
      <c r="D338">
        <v>4</v>
      </c>
      <c r="E338">
        <v>0</v>
      </c>
      <c r="F338">
        <v>2</v>
      </c>
      <c r="G338">
        <v>0</v>
      </c>
      <c r="H338">
        <v>0</v>
      </c>
      <c r="I338">
        <v>0</v>
      </c>
      <c r="J338">
        <v>0</v>
      </c>
      <c r="K338">
        <v>0</v>
      </c>
      <c r="L338">
        <v>0</v>
      </c>
      <c r="M338">
        <v>6</v>
      </c>
      <c r="P338" s="3"/>
    </row>
    <row r="339" spans="1:16" x14ac:dyDescent="0.3">
      <c r="A339" t="s">
        <v>131</v>
      </c>
      <c r="B339" t="s">
        <v>427</v>
      </c>
      <c r="C339">
        <v>0</v>
      </c>
      <c r="D339">
        <v>1</v>
      </c>
      <c r="E339">
        <v>0</v>
      </c>
      <c r="F339">
        <v>0</v>
      </c>
      <c r="G339">
        <v>0</v>
      </c>
      <c r="H339">
        <v>0</v>
      </c>
      <c r="I339">
        <v>0</v>
      </c>
      <c r="J339">
        <v>0</v>
      </c>
      <c r="K339">
        <v>0</v>
      </c>
      <c r="L339">
        <v>0</v>
      </c>
      <c r="M339">
        <v>1</v>
      </c>
      <c r="P339" s="4"/>
    </row>
    <row r="340" spans="1:16" x14ac:dyDescent="0.3">
      <c r="A340" t="s">
        <v>136</v>
      </c>
      <c r="B340" t="s">
        <v>427</v>
      </c>
      <c r="C340">
        <v>0</v>
      </c>
      <c r="D340">
        <v>1</v>
      </c>
      <c r="E340">
        <v>0</v>
      </c>
      <c r="F340">
        <v>0</v>
      </c>
      <c r="G340">
        <v>0</v>
      </c>
      <c r="H340">
        <v>0</v>
      </c>
      <c r="I340">
        <v>1</v>
      </c>
      <c r="J340">
        <v>1</v>
      </c>
      <c r="K340">
        <v>5</v>
      </c>
      <c r="L340">
        <v>0</v>
      </c>
      <c r="M340">
        <v>8</v>
      </c>
      <c r="P340" s="3"/>
    </row>
    <row r="341" spans="1:16" x14ac:dyDescent="0.3">
      <c r="A341" t="s">
        <v>133</v>
      </c>
      <c r="B341" t="s">
        <v>428</v>
      </c>
      <c r="C341">
        <v>0</v>
      </c>
      <c r="D341">
        <v>0</v>
      </c>
      <c r="E341">
        <v>0</v>
      </c>
      <c r="F341">
        <v>0</v>
      </c>
      <c r="G341">
        <v>0</v>
      </c>
      <c r="H341">
        <v>0</v>
      </c>
      <c r="I341">
        <v>0</v>
      </c>
      <c r="J341">
        <v>0</v>
      </c>
      <c r="K341">
        <v>116</v>
      </c>
      <c r="L341">
        <v>331</v>
      </c>
      <c r="M341">
        <v>447</v>
      </c>
      <c r="P341" s="4"/>
    </row>
    <row r="342" spans="1:16" x14ac:dyDescent="0.3">
      <c r="A342" t="s">
        <v>133</v>
      </c>
      <c r="B342" t="s">
        <v>429</v>
      </c>
      <c r="C342">
        <v>0</v>
      </c>
      <c r="D342">
        <v>0</v>
      </c>
      <c r="E342">
        <v>0</v>
      </c>
      <c r="F342">
        <v>0</v>
      </c>
      <c r="G342">
        <v>0</v>
      </c>
      <c r="H342">
        <v>0</v>
      </c>
      <c r="I342">
        <v>0</v>
      </c>
      <c r="J342">
        <v>0</v>
      </c>
      <c r="K342">
        <v>0</v>
      </c>
      <c r="L342">
        <v>1</v>
      </c>
      <c r="M342">
        <v>1</v>
      </c>
      <c r="P342" s="3"/>
    </row>
    <row r="343" spans="1:16" x14ac:dyDescent="0.3">
      <c r="A343" t="s">
        <v>131</v>
      </c>
      <c r="B343" t="s">
        <v>430</v>
      </c>
      <c r="C343">
        <v>0</v>
      </c>
      <c r="D343">
        <v>0</v>
      </c>
      <c r="E343">
        <v>0</v>
      </c>
      <c r="F343">
        <v>1</v>
      </c>
      <c r="G343">
        <v>0</v>
      </c>
      <c r="H343">
        <v>0</v>
      </c>
      <c r="I343">
        <v>0</v>
      </c>
      <c r="J343">
        <v>0</v>
      </c>
      <c r="K343">
        <v>0</v>
      </c>
      <c r="L343">
        <v>0</v>
      </c>
      <c r="M343">
        <v>1</v>
      </c>
      <c r="P343" s="4"/>
    </row>
    <row r="344" spans="1:16" x14ac:dyDescent="0.3">
      <c r="A344" t="s">
        <v>131</v>
      </c>
      <c r="B344" t="s">
        <v>431</v>
      </c>
      <c r="C344">
        <v>0</v>
      </c>
      <c r="D344">
        <v>0</v>
      </c>
      <c r="E344">
        <v>0</v>
      </c>
      <c r="F344">
        <v>0</v>
      </c>
      <c r="G344">
        <v>0</v>
      </c>
      <c r="H344">
        <v>0</v>
      </c>
      <c r="I344">
        <v>75</v>
      </c>
      <c r="J344">
        <v>179</v>
      </c>
      <c r="K344">
        <v>80</v>
      </c>
      <c r="L344">
        <v>6</v>
      </c>
      <c r="M344">
        <v>340</v>
      </c>
      <c r="P344" s="3"/>
    </row>
    <row r="345" spans="1:16" x14ac:dyDescent="0.3">
      <c r="A345" t="s">
        <v>136</v>
      </c>
      <c r="B345" t="s">
        <v>431</v>
      </c>
      <c r="C345">
        <v>0</v>
      </c>
      <c r="D345">
        <v>0</v>
      </c>
      <c r="E345">
        <v>0</v>
      </c>
      <c r="F345">
        <v>0</v>
      </c>
      <c r="G345">
        <v>0</v>
      </c>
      <c r="H345">
        <v>0</v>
      </c>
      <c r="I345">
        <v>0</v>
      </c>
      <c r="J345">
        <v>1</v>
      </c>
      <c r="K345">
        <v>4</v>
      </c>
      <c r="L345">
        <v>0</v>
      </c>
      <c r="M345">
        <v>5</v>
      </c>
      <c r="P345" s="4"/>
    </row>
    <row r="346" spans="1:16" x14ac:dyDescent="0.3">
      <c r="A346" t="s">
        <v>131</v>
      </c>
      <c r="B346" t="s">
        <v>432</v>
      </c>
      <c r="C346">
        <v>0</v>
      </c>
      <c r="D346">
        <v>0</v>
      </c>
      <c r="E346">
        <v>0</v>
      </c>
      <c r="F346">
        <v>49</v>
      </c>
      <c r="G346">
        <v>143</v>
      </c>
      <c r="H346">
        <v>63</v>
      </c>
      <c r="I346">
        <v>119</v>
      </c>
      <c r="J346">
        <v>647</v>
      </c>
      <c r="K346">
        <v>2595</v>
      </c>
      <c r="L346">
        <v>2104</v>
      </c>
      <c r="M346">
        <v>5720</v>
      </c>
      <c r="P346" s="3"/>
    </row>
    <row r="347" spans="1:16" x14ac:dyDescent="0.3">
      <c r="A347" t="s">
        <v>136</v>
      </c>
      <c r="B347" t="s">
        <v>432</v>
      </c>
      <c r="C347">
        <v>0</v>
      </c>
      <c r="D347">
        <v>0</v>
      </c>
      <c r="E347">
        <v>0</v>
      </c>
      <c r="F347">
        <v>0</v>
      </c>
      <c r="G347">
        <v>0</v>
      </c>
      <c r="H347">
        <v>0</v>
      </c>
      <c r="I347">
        <v>0</v>
      </c>
      <c r="J347">
        <v>7</v>
      </c>
      <c r="K347">
        <v>3</v>
      </c>
      <c r="L347">
        <v>2</v>
      </c>
      <c r="M347">
        <v>12</v>
      </c>
      <c r="P347" s="4"/>
    </row>
    <row r="348" spans="1:16" x14ac:dyDescent="0.3">
      <c r="A348" t="s">
        <v>136</v>
      </c>
      <c r="B348" t="s">
        <v>433</v>
      </c>
      <c r="C348">
        <v>0</v>
      </c>
      <c r="D348">
        <v>0</v>
      </c>
      <c r="E348">
        <v>0</v>
      </c>
      <c r="F348">
        <v>0</v>
      </c>
      <c r="G348">
        <v>0</v>
      </c>
      <c r="H348">
        <v>0</v>
      </c>
      <c r="I348">
        <v>0</v>
      </c>
      <c r="J348">
        <v>3</v>
      </c>
      <c r="K348">
        <v>44</v>
      </c>
      <c r="L348">
        <v>60</v>
      </c>
      <c r="M348">
        <v>107</v>
      </c>
      <c r="P348" s="3"/>
    </row>
    <row r="349" spans="1:16" x14ac:dyDescent="0.3">
      <c r="A349" t="s">
        <v>131</v>
      </c>
      <c r="B349" t="s">
        <v>434</v>
      </c>
      <c r="C349">
        <v>0</v>
      </c>
      <c r="D349">
        <v>0</v>
      </c>
      <c r="E349">
        <v>0</v>
      </c>
      <c r="F349">
        <v>0</v>
      </c>
      <c r="G349">
        <v>0</v>
      </c>
      <c r="H349">
        <v>0</v>
      </c>
      <c r="I349">
        <v>0</v>
      </c>
      <c r="J349">
        <v>15</v>
      </c>
      <c r="K349">
        <v>31</v>
      </c>
      <c r="L349">
        <v>18</v>
      </c>
      <c r="M349">
        <v>64</v>
      </c>
      <c r="P349" s="4"/>
    </row>
    <row r="350" spans="1:16" x14ac:dyDescent="0.3">
      <c r="A350" t="s">
        <v>131</v>
      </c>
      <c r="B350" t="s">
        <v>435</v>
      </c>
      <c r="C350">
        <v>0</v>
      </c>
      <c r="D350">
        <v>0</v>
      </c>
      <c r="E350">
        <v>0</v>
      </c>
      <c r="F350">
        <v>0</v>
      </c>
      <c r="G350">
        <v>0</v>
      </c>
      <c r="H350">
        <v>0</v>
      </c>
      <c r="I350">
        <v>0</v>
      </c>
      <c r="J350">
        <v>57</v>
      </c>
      <c r="K350">
        <v>14</v>
      </c>
      <c r="L350">
        <v>327</v>
      </c>
      <c r="M350">
        <v>398</v>
      </c>
      <c r="P350" s="3"/>
    </row>
    <row r="351" spans="1:16" x14ac:dyDescent="0.3">
      <c r="A351" t="s">
        <v>131</v>
      </c>
      <c r="B351" t="s">
        <v>436</v>
      </c>
      <c r="C351">
        <v>0</v>
      </c>
      <c r="D351">
        <v>0</v>
      </c>
      <c r="E351">
        <v>0</v>
      </c>
      <c r="F351">
        <v>0</v>
      </c>
      <c r="G351">
        <v>0</v>
      </c>
      <c r="H351">
        <v>0</v>
      </c>
      <c r="I351">
        <v>0</v>
      </c>
      <c r="J351">
        <v>0</v>
      </c>
      <c r="K351">
        <v>1</v>
      </c>
      <c r="L351">
        <v>0</v>
      </c>
      <c r="M351">
        <v>1</v>
      </c>
      <c r="P351" s="4"/>
    </row>
    <row r="352" spans="1:16" x14ac:dyDescent="0.3">
      <c r="A352" t="s">
        <v>131</v>
      </c>
      <c r="B352" t="s">
        <v>437</v>
      </c>
      <c r="C352">
        <v>0</v>
      </c>
      <c r="D352">
        <v>0</v>
      </c>
      <c r="E352">
        <v>0</v>
      </c>
      <c r="F352">
        <v>1</v>
      </c>
      <c r="G352">
        <v>67</v>
      </c>
      <c r="H352">
        <v>66</v>
      </c>
      <c r="I352">
        <v>134</v>
      </c>
      <c r="J352">
        <v>298</v>
      </c>
      <c r="K352">
        <v>166</v>
      </c>
      <c r="L352">
        <v>36</v>
      </c>
      <c r="M352">
        <v>768</v>
      </c>
      <c r="P352" s="3"/>
    </row>
    <row r="353" spans="1:16" x14ac:dyDescent="0.3">
      <c r="A353" t="s">
        <v>131</v>
      </c>
      <c r="B353" t="s">
        <v>438</v>
      </c>
      <c r="C353">
        <v>0</v>
      </c>
      <c r="D353">
        <v>0</v>
      </c>
      <c r="E353">
        <v>0</v>
      </c>
      <c r="F353">
        <v>10</v>
      </c>
      <c r="G353">
        <v>3</v>
      </c>
      <c r="H353">
        <v>1</v>
      </c>
      <c r="I353">
        <v>5</v>
      </c>
      <c r="J353">
        <v>2</v>
      </c>
      <c r="K353">
        <v>0</v>
      </c>
      <c r="L353">
        <v>2</v>
      </c>
      <c r="M353">
        <v>23</v>
      </c>
      <c r="P353" s="4"/>
    </row>
    <row r="354" spans="1:16" x14ac:dyDescent="0.3">
      <c r="A354" t="s">
        <v>133</v>
      </c>
      <c r="B354" t="s">
        <v>439</v>
      </c>
      <c r="C354">
        <v>0</v>
      </c>
      <c r="D354">
        <v>0</v>
      </c>
      <c r="E354">
        <v>0</v>
      </c>
      <c r="F354">
        <v>0</v>
      </c>
      <c r="G354">
        <v>0</v>
      </c>
      <c r="H354">
        <v>0</v>
      </c>
      <c r="I354">
        <v>0</v>
      </c>
      <c r="J354">
        <v>162</v>
      </c>
      <c r="K354">
        <v>540</v>
      </c>
      <c r="L354">
        <v>123</v>
      </c>
      <c r="M354">
        <v>825</v>
      </c>
      <c r="P354" s="3"/>
    </row>
    <row r="355" spans="1:16" x14ac:dyDescent="0.3">
      <c r="A355" t="s">
        <v>133</v>
      </c>
      <c r="B355" t="s">
        <v>440</v>
      </c>
      <c r="C355">
        <v>0</v>
      </c>
      <c r="D355">
        <v>0</v>
      </c>
      <c r="E355">
        <v>0</v>
      </c>
      <c r="F355">
        <v>0</v>
      </c>
      <c r="G355">
        <v>0</v>
      </c>
      <c r="H355">
        <v>0</v>
      </c>
      <c r="I355">
        <v>0</v>
      </c>
      <c r="J355">
        <v>127</v>
      </c>
      <c r="K355">
        <v>83</v>
      </c>
      <c r="L355">
        <v>13</v>
      </c>
      <c r="M355">
        <v>223</v>
      </c>
      <c r="P355" s="4"/>
    </row>
    <row r="356" spans="1:16" x14ac:dyDescent="0.3">
      <c r="A356" t="s">
        <v>131</v>
      </c>
      <c r="B356" t="s">
        <v>441</v>
      </c>
      <c r="C356">
        <v>0</v>
      </c>
      <c r="D356">
        <v>0</v>
      </c>
      <c r="E356">
        <v>0</v>
      </c>
      <c r="F356">
        <v>0</v>
      </c>
      <c r="G356">
        <v>1</v>
      </c>
      <c r="H356">
        <v>274</v>
      </c>
      <c r="I356">
        <v>519</v>
      </c>
      <c r="J356">
        <v>1056</v>
      </c>
      <c r="K356">
        <v>2379</v>
      </c>
      <c r="L356">
        <v>1318</v>
      </c>
      <c r="M356">
        <v>5547</v>
      </c>
      <c r="P356" s="3"/>
    </row>
    <row r="357" spans="1:16" x14ac:dyDescent="0.3">
      <c r="A357" t="s">
        <v>131</v>
      </c>
      <c r="B357" t="s">
        <v>442</v>
      </c>
      <c r="C357">
        <v>0</v>
      </c>
      <c r="D357">
        <v>1</v>
      </c>
      <c r="E357">
        <v>0</v>
      </c>
      <c r="F357">
        <v>1</v>
      </c>
      <c r="G357">
        <v>0</v>
      </c>
      <c r="H357">
        <v>0</v>
      </c>
      <c r="I357">
        <v>0</v>
      </c>
      <c r="J357">
        <v>0</v>
      </c>
      <c r="K357">
        <v>0</v>
      </c>
      <c r="L357">
        <v>0</v>
      </c>
      <c r="M357">
        <v>2</v>
      </c>
      <c r="P357" s="4"/>
    </row>
    <row r="358" spans="1:16" x14ac:dyDescent="0.3">
      <c r="A358" t="s">
        <v>131</v>
      </c>
      <c r="B358" t="s">
        <v>443</v>
      </c>
      <c r="C358">
        <v>0</v>
      </c>
      <c r="D358">
        <v>0</v>
      </c>
      <c r="E358">
        <v>0</v>
      </c>
      <c r="F358">
        <v>0</v>
      </c>
      <c r="G358">
        <v>0</v>
      </c>
      <c r="H358">
        <v>56</v>
      </c>
      <c r="I358">
        <v>214</v>
      </c>
      <c r="J358">
        <v>401</v>
      </c>
      <c r="K358">
        <v>614</v>
      </c>
      <c r="L358">
        <v>470</v>
      </c>
      <c r="M358">
        <v>1755</v>
      </c>
      <c r="P358" s="3"/>
    </row>
    <row r="359" spans="1:16" x14ac:dyDescent="0.3">
      <c r="A359" t="s">
        <v>131</v>
      </c>
      <c r="B359" t="s">
        <v>444</v>
      </c>
      <c r="C359">
        <v>0</v>
      </c>
      <c r="D359">
        <v>0</v>
      </c>
      <c r="E359">
        <v>0</v>
      </c>
      <c r="F359">
        <v>3</v>
      </c>
      <c r="G359">
        <v>4</v>
      </c>
      <c r="H359">
        <v>6</v>
      </c>
      <c r="I359">
        <v>0</v>
      </c>
      <c r="J359">
        <v>0</v>
      </c>
      <c r="K359">
        <v>0</v>
      </c>
      <c r="L359">
        <v>0</v>
      </c>
      <c r="M359">
        <v>13</v>
      </c>
      <c r="P359" s="4"/>
    </row>
    <row r="360" spans="1:16" x14ac:dyDescent="0.3">
      <c r="A360" t="s">
        <v>131</v>
      </c>
      <c r="B360" t="s">
        <v>445</v>
      </c>
      <c r="C360">
        <v>0</v>
      </c>
      <c r="D360">
        <v>0</v>
      </c>
      <c r="E360">
        <v>49</v>
      </c>
      <c r="F360">
        <v>200</v>
      </c>
      <c r="G360">
        <v>111</v>
      </c>
      <c r="H360">
        <v>12</v>
      </c>
      <c r="I360">
        <v>15</v>
      </c>
      <c r="J360">
        <v>177</v>
      </c>
      <c r="K360">
        <v>218</v>
      </c>
      <c r="L360">
        <v>90</v>
      </c>
      <c r="M360">
        <v>872</v>
      </c>
      <c r="P360" s="3"/>
    </row>
    <row r="361" spans="1:16" x14ac:dyDescent="0.3">
      <c r="A361" t="s">
        <v>131</v>
      </c>
      <c r="B361" t="s">
        <v>446</v>
      </c>
      <c r="C361">
        <v>0</v>
      </c>
      <c r="D361">
        <v>0</v>
      </c>
      <c r="E361">
        <v>0</v>
      </c>
      <c r="F361">
        <v>0</v>
      </c>
      <c r="G361">
        <v>0</v>
      </c>
      <c r="H361">
        <v>0</v>
      </c>
      <c r="I361">
        <v>0</v>
      </c>
      <c r="J361">
        <v>0</v>
      </c>
      <c r="K361">
        <v>0</v>
      </c>
      <c r="L361">
        <v>10</v>
      </c>
      <c r="M361">
        <v>10</v>
      </c>
      <c r="P361" s="4"/>
    </row>
    <row r="362" spans="1:16" x14ac:dyDescent="0.3">
      <c r="A362" t="s">
        <v>131</v>
      </c>
      <c r="B362" t="s">
        <v>447</v>
      </c>
      <c r="C362">
        <v>0</v>
      </c>
      <c r="D362">
        <v>0</v>
      </c>
      <c r="E362">
        <v>0</v>
      </c>
      <c r="F362">
        <v>0</v>
      </c>
      <c r="G362">
        <v>0</v>
      </c>
      <c r="H362">
        <v>0</v>
      </c>
      <c r="I362">
        <v>0</v>
      </c>
      <c r="J362">
        <v>395</v>
      </c>
      <c r="K362">
        <v>900</v>
      </c>
      <c r="L362">
        <v>496</v>
      </c>
      <c r="M362">
        <v>1791</v>
      </c>
      <c r="P362" s="3"/>
    </row>
    <row r="363" spans="1:16" x14ac:dyDescent="0.3">
      <c r="A363" t="s">
        <v>133</v>
      </c>
      <c r="B363" t="s">
        <v>448</v>
      </c>
      <c r="C363">
        <v>0</v>
      </c>
      <c r="D363">
        <v>0</v>
      </c>
      <c r="E363">
        <v>0</v>
      </c>
      <c r="F363">
        <v>0</v>
      </c>
      <c r="G363">
        <v>0</v>
      </c>
      <c r="H363">
        <v>0</v>
      </c>
      <c r="I363">
        <v>0</v>
      </c>
      <c r="J363">
        <v>5</v>
      </c>
      <c r="K363">
        <v>106</v>
      </c>
      <c r="L363">
        <v>58</v>
      </c>
      <c r="M363">
        <v>169</v>
      </c>
      <c r="P363" s="4"/>
    </row>
    <row r="364" spans="1:16" x14ac:dyDescent="0.3">
      <c r="A364" t="s">
        <v>131</v>
      </c>
      <c r="B364" t="s">
        <v>449</v>
      </c>
      <c r="C364">
        <v>0</v>
      </c>
      <c r="D364">
        <v>0</v>
      </c>
      <c r="E364">
        <v>0</v>
      </c>
      <c r="F364">
        <v>0</v>
      </c>
      <c r="G364">
        <v>0</v>
      </c>
      <c r="H364">
        <v>0</v>
      </c>
      <c r="I364">
        <v>0</v>
      </c>
      <c r="J364">
        <v>268</v>
      </c>
      <c r="K364">
        <v>546</v>
      </c>
      <c r="L364">
        <v>281</v>
      </c>
      <c r="M364">
        <v>1095</v>
      </c>
      <c r="P364" s="3"/>
    </row>
    <row r="365" spans="1:16" x14ac:dyDescent="0.3">
      <c r="A365" t="s">
        <v>131</v>
      </c>
      <c r="B365" t="s">
        <v>450</v>
      </c>
      <c r="C365">
        <v>0</v>
      </c>
      <c r="D365">
        <v>0</v>
      </c>
      <c r="E365">
        <v>0</v>
      </c>
      <c r="F365">
        <v>0</v>
      </c>
      <c r="G365">
        <v>0</v>
      </c>
      <c r="H365">
        <v>0</v>
      </c>
      <c r="I365">
        <v>1</v>
      </c>
      <c r="J365">
        <v>31</v>
      </c>
      <c r="K365">
        <v>17</v>
      </c>
      <c r="L365">
        <v>2</v>
      </c>
      <c r="M365">
        <v>51</v>
      </c>
      <c r="P365" s="4"/>
    </row>
    <row r="366" spans="1:16" x14ac:dyDescent="0.3">
      <c r="A366" t="s">
        <v>131</v>
      </c>
      <c r="B366" t="s">
        <v>451</v>
      </c>
      <c r="C366">
        <v>0</v>
      </c>
      <c r="D366">
        <v>6</v>
      </c>
      <c r="E366">
        <v>48</v>
      </c>
      <c r="F366">
        <v>30</v>
      </c>
      <c r="G366">
        <v>15</v>
      </c>
      <c r="H366">
        <v>6</v>
      </c>
      <c r="I366">
        <v>1</v>
      </c>
      <c r="J366">
        <v>23</v>
      </c>
      <c r="K366">
        <v>119</v>
      </c>
      <c r="L366">
        <v>83</v>
      </c>
      <c r="M366">
        <v>331</v>
      </c>
      <c r="P366" s="3"/>
    </row>
    <row r="367" spans="1:16" x14ac:dyDescent="0.3">
      <c r="A367" t="s">
        <v>136</v>
      </c>
      <c r="B367" t="s">
        <v>452</v>
      </c>
      <c r="C367">
        <v>0</v>
      </c>
      <c r="D367">
        <v>1</v>
      </c>
      <c r="E367">
        <v>0</v>
      </c>
      <c r="F367">
        <v>0</v>
      </c>
      <c r="G367">
        <v>0</v>
      </c>
      <c r="H367">
        <v>0</v>
      </c>
      <c r="I367">
        <v>0</v>
      </c>
      <c r="J367">
        <v>0</v>
      </c>
      <c r="K367">
        <v>0</v>
      </c>
      <c r="L367">
        <v>0</v>
      </c>
      <c r="M367">
        <v>1</v>
      </c>
      <c r="P367" s="4"/>
    </row>
    <row r="368" spans="1:16" x14ac:dyDescent="0.3">
      <c r="A368" t="s">
        <v>131</v>
      </c>
      <c r="B368" t="s">
        <v>453</v>
      </c>
      <c r="C368">
        <v>0</v>
      </c>
      <c r="D368">
        <v>0</v>
      </c>
      <c r="E368">
        <v>0</v>
      </c>
      <c r="F368">
        <v>1</v>
      </c>
      <c r="G368">
        <v>0</v>
      </c>
      <c r="H368">
        <v>0</v>
      </c>
      <c r="I368">
        <v>0</v>
      </c>
      <c r="J368">
        <v>0</v>
      </c>
      <c r="K368">
        <v>0</v>
      </c>
      <c r="L368">
        <v>0</v>
      </c>
      <c r="M368">
        <v>1</v>
      </c>
      <c r="P368" s="3"/>
    </row>
    <row r="369" spans="1:16" x14ac:dyDescent="0.3">
      <c r="A369" t="s">
        <v>136</v>
      </c>
      <c r="B369" t="s">
        <v>453</v>
      </c>
      <c r="C369">
        <v>1</v>
      </c>
      <c r="D369">
        <v>0</v>
      </c>
      <c r="E369">
        <v>0</v>
      </c>
      <c r="F369">
        <v>1</v>
      </c>
      <c r="G369">
        <v>0</v>
      </c>
      <c r="H369">
        <v>0</v>
      </c>
      <c r="I369">
        <v>0</v>
      </c>
      <c r="J369">
        <v>0</v>
      </c>
      <c r="K369">
        <v>0</v>
      </c>
      <c r="L369">
        <v>0</v>
      </c>
      <c r="M369">
        <v>2</v>
      </c>
      <c r="P369" s="4"/>
    </row>
    <row r="370" spans="1:16" x14ac:dyDescent="0.3">
      <c r="A370" t="s">
        <v>131</v>
      </c>
      <c r="B370" t="s">
        <v>454</v>
      </c>
      <c r="C370">
        <v>0</v>
      </c>
      <c r="D370">
        <v>0</v>
      </c>
      <c r="E370">
        <v>0</v>
      </c>
      <c r="F370">
        <v>0</v>
      </c>
      <c r="G370">
        <v>0</v>
      </c>
      <c r="H370">
        <v>0</v>
      </c>
      <c r="I370">
        <v>0</v>
      </c>
      <c r="J370">
        <v>0</v>
      </c>
      <c r="K370">
        <v>0</v>
      </c>
      <c r="L370">
        <v>6</v>
      </c>
      <c r="M370">
        <v>6</v>
      </c>
      <c r="P370" s="3"/>
    </row>
    <row r="371" spans="1:16" x14ac:dyDescent="0.3">
      <c r="A371" t="s">
        <v>133</v>
      </c>
      <c r="B371" t="s">
        <v>455</v>
      </c>
      <c r="C371">
        <v>0</v>
      </c>
      <c r="D371">
        <v>0</v>
      </c>
      <c r="E371">
        <v>0</v>
      </c>
      <c r="F371">
        <v>0</v>
      </c>
      <c r="G371">
        <v>0</v>
      </c>
      <c r="H371">
        <v>0</v>
      </c>
      <c r="I371">
        <v>0</v>
      </c>
      <c r="J371">
        <v>0</v>
      </c>
      <c r="K371">
        <v>57</v>
      </c>
      <c r="L371">
        <v>21</v>
      </c>
      <c r="M371">
        <v>78</v>
      </c>
      <c r="P371" s="4"/>
    </row>
    <row r="372" spans="1:16" x14ac:dyDescent="0.3">
      <c r="A372" t="s">
        <v>133</v>
      </c>
      <c r="B372" t="s">
        <v>456</v>
      </c>
      <c r="C372">
        <v>0</v>
      </c>
      <c r="D372">
        <v>0</v>
      </c>
      <c r="E372">
        <v>0</v>
      </c>
      <c r="F372">
        <v>0</v>
      </c>
      <c r="G372">
        <v>0</v>
      </c>
      <c r="H372">
        <v>0</v>
      </c>
      <c r="I372">
        <v>0</v>
      </c>
      <c r="J372">
        <v>0</v>
      </c>
      <c r="K372">
        <v>0</v>
      </c>
      <c r="L372">
        <v>2</v>
      </c>
      <c r="M372">
        <v>2</v>
      </c>
      <c r="P372" s="3"/>
    </row>
    <row r="373" spans="1:16" x14ac:dyDescent="0.3">
      <c r="A373" t="s">
        <v>133</v>
      </c>
      <c r="B373" t="s">
        <v>457</v>
      </c>
      <c r="C373">
        <v>0</v>
      </c>
      <c r="D373">
        <v>0</v>
      </c>
      <c r="E373">
        <v>0</v>
      </c>
      <c r="F373">
        <v>0</v>
      </c>
      <c r="G373">
        <v>0</v>
      </c>
      <c r="H373">
        <v>0</v>
      </c>
      <c r="I373">
        <v>0</v>
      </c>
      <c r="J373">
        <v>0</v>
      </c>
      <c r="K373">
        <v>16</v>
      </c>
      <c r="L373">
        <v>4</v>
      </c>
      <c r="M373">
        <v>20</v>
      </c>
      <c r="P373" s="4"/>
    </row>
    <row r="374" spans="1:16" x14ac:dyDescent="0.3">
      <c r="A374" t="s">
        <v>131</v>
      </c>
      <c r="B374" t="s">
        <v>458</v>
      </c>
      <c r="C374">
        <v>0</v>
      </c>
      <c r="D374">
        <v>0</v>
      </c>
      <c r="E374">
        <v>47</v>
      </c>
      <c r="F374">
        <v>457</v>
      </c>
      <c r="G374">
        <v>688</v>
      </c>
      <c r="H374">
        <v>318</v>
      </c>
      <c r="I374">
        <v>447</v>
      </c>
      <c r="J374">
        <v>699</v>
      </c>
      <c r="K374">
        <v>1430</v>
      </c>
      <c r="L374">
        <v>648</v>
      </c>
      <c r="M374">
        <v>4734</v>
      </c>
      <c r="P374" s="3"/>
    </row>
    <row r="375" spans="1:16" x14ac:dyDescent="0.3">
      <c r="A375" t="s">
        <v>136</v>
      </c>
      <c r="B375" t="s">
        <v>458</v>
      </c>
      <c r="C375">
        <v>0</v>
      </c>
      <c r="D375">
        <v>0</v>
      </c>
      <c r="E375">
        <v>0</v>
      </c>
      <c r="F375">
        <v>1</v>
      </c>
      <c r="G375">
        <v>0</v>
      </c>
      <c r="H375">
        <v>0</v>
      </c>
      <c r="I375">
        <v>0</v>
      </c>
      <c r="J375">
        <v>0</v>
      </c>
      <c r="K375">
        <v>0</v>
      </c>
      <c r="L375">
        <v>0</v>
      </c>
      <c r="M375">
        <v>1</v>
      </c>
      <c r="P375" s="4"/>
    </row>
    <row r="376" spans="1:16" x14ac:dyDescent="0.3">
      <c r="A376" t="s">
        <v>131</v>
      </c>
      <c r="B376" t="s">
        <v>459</v>
      </c>
      <c r="C376">
        <v>0</v>
      </c>
      <c r="D376">
        <v>0</v>
      </c>
      <c r="E376">
        <v>0</v>
      </c>
      <c r="F376">
        <v>44</v>
      </c>
      <c r="G376">
        <v>68</v>
      </c>
      <c r="H376">
        <v>5</v>
      </c>
      <c r="I376">
        <v>1</v>
      </c>
      <c r="J376">
        <v>2</v>
      </c>
      <c r="K376">
        <v>0</v>
      </c>
      <c r="L376">
        <v>0</v>
      </c>
      <c r="M376">
        <v>120</v>
      </c>
      <c r="P376" s="3"/>
    </row>
    <row r="377" spans="1:16" x14ac:dyDescent="0.3">
      <c r="A377" t="s">
        <v>131</v>
      </c>
      <c r="B377" t="s">
        <v>460</v>
      </c>
      <c r="C377">
        <v>0</v>
      </c>
      <c r="D377">
        <v>0</v>
      </c>
      <c r="E377">
        <v>0</v>
      </c>
      <c r="F377">
        <v>0</v>
      </c>
      <c r="G377">
        <v>0</v>
      </c>
      <c r="H377">
        <v>0</v>
      </c>
      <c r="I377">
        <v>0</v>
      </c>
      <c r="J377">
        <v>9</v>
      </c>
      <c r="K377">
        <v>3</v>
      </c>
      <c r="L377">
        <v>22</v>
      </c>
      <c r="M377">
        <v>34</v>
      </c>
      <c r="P377" s="4"/>
    </row>
    <row r="378" spans="1:16" x14ac:dyDescent="0.3">
      <c r="A378" t="s">
        <v>131</v>
      </c>
      <c r="B378" t="s">
        <v>461</v>
      </c>
      <c r="C378">
        <v>0</v>
      </c>
      <c r="D378">
        <v>0</v>
      </c>
      <c r="E378">
        <v>0</v>
      </c>
      <c r="F378">
        <v>0</v>
      </c>
      <c r="G378">
        <v>0</v>
      </c>
      <c r="H378">
        <v>0</v>
      </c>
      <c r="I378">
        <v>0</v>
      </c>
      <c r="J378">
        <v>0</v>
      </c>
      <c r="K378">
        <v>74</v>
      </c>
      <c r="L378">
        <v>479</v>
      </c>
      <c r="M378">
        <v>553</v>
      </c>
      <c r="P378" s="3"/>
    </row>
    <row r="379" spans="1:16" x14ac:dyDescent="0.3">
      <c r="A379" t="s">
        <v>131</v>
      </c>
      <c r="B379" t="s">
        <v>462</v>
      </c>
      <c r="C379">
        <v>0</v>
      </c>
      <c r="D379">
        <v>0</v>
      </c>
      <c r="E379">
        <v>816</v>
      </c>
      <c r="F379">
        <v>1626</v>
      </c>
      <c r="G379">
        <v>2257</v>
      </c>
      <c r="H379">
        <v>2405</v>
      </c>
      <c r="I379">
        <v>2491</v>
      </c>
      <c r="J379">
        <v>4151</v>
      </c>
      <c r="K379">
        <v>5514</v>
      </c>
      <c r="L379">
        <v>2850</v>
      </c>
      <c r="M379">
        <v>22110</v>
      </c>
      <c r="P379" s="4"/>
    </row>
    <row r="380" spans="1:16" x14ac:dyDescent="0.3">
      <c r="A380" t="s">
        <v>136</v>
      </c>
      <c r="B380" t="s">
        <v>462</v>
      </c>
      <c r="C380">
        <v>0</v>
      </c>
      <c r="D380">
        <v>0</v>
      </c>
      <c r="E380">
        <v>1</v>
      </c>
      <c r="F380">
        <v>0</v>
      </c>
      <c r="G380">
        <v>0</v>
      </c>
      <c r="H380">
        <v>0</v>
      </c>
      <c r="I380">
        <v>0</v>
      </c>
      <c r="J380">
        <v>0</v>
      </c>
      <c r="K380">
        <v>0</v>
      </c>
      <c r="L380">
        <v>0</v>
      </c>
      <c r="M380">
        <v>1</v>
      </c>
      <c r="P380" s="3"/>
    </row>
    <row r="381" spans="1:16" x14ac:dyDescent="0.3">
      <c r="A381" t="s">
        <v>131</v>
      </c>
      <c r="B381" t="s">
        <v>463</v>
      </c>
      <c r="C381">
        <v>0</v>
      </c>
      <c r="D381">
        <v>0</v>
      </c>
      <c r="E381">
        <v>0</v>
      </c>
      <c r="F381">
        <v>0</v>
      </c>
      <c r="G381">
        <v>0</v>
      </c>
      <c r="H381">
        <v>0</v>
      </c>
      <c r="I381">
        <v>0</v>
      </c>
      <c r="J381">
        <v>0</v>
      </c>
      <c r="K381">
        <v>383</v>
      </c>
      <c r="L381">
        <v>508</v>
      </c>
      <c r="M381">
        <v>891</v>
      </c>
      <c r="P381" s="4"/>
    </row>
    <row r="382" spans="1:16" x14ac:dyDescent="0.3">
      <c r="A382" t="s">
        <v>136</v>
      </c>
      <c r="B382" t="s">
        <v>464</v>
      </c>
      <c r="C382">
        <v>0</v>
      </c>
      <c r="D382">
        <v>0</v>
      </c>
      <c r="E382">
        <v>0</v>
      </c>
      <c r="F382">
        <v>0</v>
      </c>
      <c r="G382">
        <v>0</v>
      </c>
      <c r="H382">
        <v>0</v>
      </c>
      <c r="I382">
        <v>0</v>
      </c>
      <c r="J382">
        <v>0</v>
      </c>
      <c r="K382">
        <v>1</v>
      </c>
      <c r="L382">
        <v>0</v>
      </c>
      <c r="M382">
        <v>1</v>
      </c>
      <c r="P382" s="3"/>
    </row>
    <row r="383" spans="1:16" x14ac:dyDescent="0.3">
      <c r="A383" t="s">
        <v>131</v>
      </c>
      <c r="B383" t="s">
        <v>465</v>
      </c>
      <c r="C383">
        <v>0</v>
      </c>
      <c r="D383">
        <v>0</v>
      </c>
      <c r="E383">
        <v>0</v>
      </c>
      <c r="F383">
        <v>0</v>
      </c>
      <c r="G383">
        <v>0</v>
      </c>
      <c r="H383">
        <v>0</v>
      </c>
      <c r="I383">
        <v>0</v>
      </c>
      <c r="J383">
        <v>0</v>
      </c>
      <c r="K383">
        <v>188</v>
      </c>
      <c r="L383">
        <v>19</v>
      </c>
      <c r="M383">
        <v>207</v>
      </c>
      <c r="P383" s="4"/>
    </row>
    <row r="384" spans="1:16" x14ac:dyDescent="0.3">
      <c r="A384" t="s">
        <v>136</v>
      </c>
      <c r="B384" t="s">
        <v>466</v>
      </c>
      <c r="C384">
        <v>1</v>
      </c>
      <c r="D384">
        <v>0</v>
      </c>
      <c r="E384">
        <v>0</v>
      </c>
      <c r="F384">
        <v>0</v>
      </c>
      <c r="G384">
        <v>0</v>
      </c>
      <c r="H384">
        <v>0</v>
      </c>
      <c r="I384">
        <v>0</v>
      </c>
      <c r="J384">
        <v>0</v>
      </c>
      <c r="K384">
        <v>0</v>
      </c>
      <c r="L384">
        <v>0</v>
      </c>
      <c r="M384">
        <v>1</v>
      </c>
      <c r="P384" s="3"/>
    </row>
    <row r="385" spans="1:16" x14ac:dyDescent="0.3">
      <c r="A385" t="s">
        <v>131</v>
      </c>
      <c r="B385" t="s">
        <v>467</v>
      </c>
      <c r="C385">
        <v>0</v>
      </c>
      <c r="D385">
        <v>0</v>
      </c>
      <c r="E385">
        <v>8</v>
      </c>
      <c r="F385">
        <v>0</v>
      </c>
      <c r="G385">
        <v>0</v>
      </c>
      <c r="H385">
        <v>0</v>
      </c>
      <c r="I385">
        <v>0</v>
      </c>
      <c r="J385">
        <v>0</v>
      </c>
      <c r="K385">
        <v>0</v>
      </c>
      <c r="L385">
        <v>0</v>
      </c>
      <c r="M385">
        <v>8</v>
      </c>
      <c r="P385" s="4"/>
    </row>
    <row r="386" spans="1:16" x14ac:dyDescent="0.3">
      <c r="A386" t="s">
        <v>133</v>
      </c>
      <c r="B386" t="s">
        <v>468</v>
      </c>
      <c r="C386">
        <v>0</v>
      </c>
      <c r="D386">
        <v>0</v>
      </c>
      <c r="E386">
        <v>0</v>
      </c>
      <c r="F386">
        <v>0</v>
      </c>
      <c r="G386">
        <v>0</v>
      </c>
      <c r="H386">
        <v>0</v>
      </c>
      <c r="I386">
        <v>0</v>
      </c>
      <c r="J386">
        <v>0</v>
      </c>
      <c r="K386">
        <v>0</v>
      </c>
      <c r="L386">
        <v>163</v>
      </c>
      <c r="M386">
        <v>163</v>
      </c>
      <c r="P386" s="3"/>
    </row>
    <row r="387" spans="1:16" x14ac:dyDescent="0.3">
      <c r="A387" t="s">
        <v>131</v>
      </c>
      <c r="B387" t="s">
        <v>469</v>
      </c>
      <c r="C387">
        <v>0</v>
      </c>
      <c r="D387">
        <v>0</v>
      </c>
      <c r="E387">
        <v>0</v>
      </c>
      <c r="F387">
        <v>0</v>
      </c>
      <c r="G387">
        <v>15</v>
      </c>
      <c r="H387">
        <v>7</v>
      </c>
      <c r="I387">
        <v>6</v>
      </c>
      <c r="J387">
        <v>10</v>
      </c>
      <c r="K387">
        <v>1</v>
      </c>
      <c r="L387">
        <v>0</v>
      </c>
      <c r="M387">
        <v>39</v>
      </c>
      <c r="P387" s="4"/>
    </row>
    <row r="388" spans="1:16" x14ac:dyDescent="0.3">
      <c r="A388" t="s">
        <v>131</v>
      </c>
      <c r="B388" t="s">
        <v>470</v>
      </c>
      <c r="C388">
        <v>0</v>
      </c>
      <c r="D388">
        <v>0</v>
      </c>
      <c r="E388">
        <v>0</v>
      </c>
      <c r="F388">
        <v>0</v>
      </c>
      <c r="G388">
        <v>10</v>
      </c>
      <c r="H388">
        <v>28</v>
      </c>
      <c r="I388">
        <v>63</v>
      </c>
      <c r="J388">
        <v>0</v>
      </c>
      <c r="K388">
        <v>0</v>
      </c>
      <c r="L388">
        <v>0</v>
      </c>
      <c r="M388">
        <v>101</v>
      </c>
      <c r="P388" s="3"/>
    </row>
    <row r="389" spans="1:16" x14ac:dyDescent="0.3">
      <c r="A389" t="s">
        <v>131</v>
      </c>
      <c r="B389" t="s">
        <v>471</v>
      </c>
      <c r="C389">
        <v>0</v>
      </c>
      <c r="D389">
        <v>0</v>
      </c>
      <c r="E389">
        <v>6</v>
      </c>
      <c r="F389">
        <v>117</v>
      </c>
      <c r="G389">
        <v>195</v>
      </c>
      <c r="H389">
        <v>81</v>
      </c>
      <c r="I389">
        <v>428</v>
      </c>
      <c r="J389">
        <v>2048</v>
      </c>
      <c r="K389">
        <v>2950</v>
      </c>
      <c r="L389">
        <v>1053</v>
      </c>
      <c r="M389">
        <v>6878</v>
      </c>
      <c r="P389" s="4"/>
    </row>
    <row r="390" spans="1:16" x14ac:dyDescent="0.3">
      <c r="A390" t="s">
        <v>131</v>
      </c>
      <c r="B390" t="s">
        <v>472</v>
      </c>
      <c r="C390">
        <v>1</v>
      </c>
      <c r="D390">
        <v>1</v>
      </c>
      <c r="E390">
        <v>3</v>
      </c>
      <c r="F390">
        <v>0</v>
      </c>
      <c r="G390">
        <v>0</v>
      </c>
      <c r="H390">
        <v>0</v>
      </c>
      <c r="I390">
        <v>0</v>
      </c>
      <c r="J390">
        <v>0</v>
      </c>
      <c r="K390">
        <v>0</v>
      </c>
      <c r="L390">
        <v>0</v>
      </c>
      <c r="M390">
        <v>5</v>
      </c>
      <c r="P390" s="3"/>
    </row>
    <row r="391" spans="1:16" x14ac:dyDescent="0.3">
      <c r="A391" t="s">
        <v>131</v>
      </c>
      <c r="B391" t="s">
        <v>473</v>
      </c>
      <c r="C391">
        <v>0</v>
      </c>
      <c r="D391">
        <v>0</v>
      </c>
      <c r="E391">
        <v>0</v>
      </c>
      <c r="F391">
        <v>0</v>
      </c>
      <c r="G391">
        <v>9</v>
      </c>
      <c r="H391">
        <v>1</v>
      </c>
      <c r="I391">
        <v>0</v>
      </c>
      <c r="J391">
        <v>0</v>
      </c>
      <c r="K391">
        <v>0</v>
      </c>
      <c r="L391">
        <v>0</v>
      </c>
      <c r="M391">
        <v>10</v>
      </c>
      <c r="P391" s="4"/>
    </row>
    <row r="392" spans="1:16" x14ac:dyDescent="0.3">
      <c r="A392" t="s">
        <v>133</v>
      </c>
      <c r="B392" t="s">
        <v>474</v>
      </c>
      <c r="C392">
        <v>3</v>
      </c>
      <c r="D392">
        <v>1</v>
      </c>
      <c r="E392">
        <v>0</v>
      </c>
      <c r="F392">
        <v>0</v>
      </c>
      <c r="G392">
        <v>0</v>
      </c>
      <c r="H392">
        <v>0</v>
      </c>
      <c r="I392">
        <v>0</v>
      </c>
      <c r="J392">
        <v>0</v>
      </c>
      <c r="K392">
        <v>0</v>
      </c>
      <c r="L392">
        <v>0</v>
      </c>
      <c r="M392">
        <v>4</v>
      </c>
      <c r="P392" s="3"/>
    </row>
    <row r="393" spans="1:16" x14ac:dyDescent="0.3">
      <c r="A393" t="s">
        <v>131</v>
      </c>
      <c r="B393" t="s">
        <v>474</v>
      </c>
      <c r="C393">
        <v>0</v>
      </c>
      <c r="D393">
        <v>0</v>
      </c>
      <c r="E393">
        <v>1</v>
      </c>
      <c r="F393">
        <v>0</v>
      </c>
      <c r="G393">
        <v>0</v>
      </c>
      <c r="H393">
        <v>0</v>
      </c>
      <c r="I393">
        <v>0</v>
      </c>
      <c r="J393">
        <v>0</v>
      </c>
      <c r="K393">
        <v>0</v>
      </c>
      <c r="L393">
        <v>0</v>
      </c>
      <c r="M393">
        <v>1</v>
      </c>
      <c r="P393" s="4"/>
    </row>
    <row r="394" spans="1:16" x14ac:dyDescent="0.3">
      <c r="A394" t="s">
        <v>136</v>
      </c>
      <c r="B394" t="s">
        <v>474</v>
      </c>
      <c r="C394">
        <v>1</v>
      </c>
      <c r="D394">
        <v>0</v>
      </c>
      <c r="E394">
        <v>0</v>
      </c>
      <c r="F394">
        <v>0</v>
      </c>
      <c r="G394">
        <v>0</v>
      </c>
      <c r="H394">
        <v>0</v>
      </c>
      <c r="I394">
        <v>0</v>
      </c>
      <c r="J394">
        <v>0</v>
      </c>
      <c r="K394">
        <v>0</v>
      </c>
      <c r="L394">
        <v>0</v>
      </c>
      <c r="M394">
        <v>1</v>
      </c>
      <c r="P394" s="3"/>
    </row>
    <row r="395" spans="1:16" x14ac:dyDescent="0.3">
      <c r="A395" t="s">
        <v>131</v>
      </c>
      <c r="B395" t="s">
        <v>475</v>
      </c>
      <c r="C395">
        <v>0</v>
      </c>
      <c r="D395">
        <v>0</v>
      </c>
      <c r="E395">
        <v>0</v>
      </c>
      <c r="F395">
        <v>0</v>
      </c>
      <c r="G395">
        <v>1</v>
      </c>
      <c r="H395">
        <v>6</v>
      </c>
      <c r="I395">
        <v>4</v>
      </c>
      <c r="J395">
        <v>0</v>
      </c>
      <c r="K395">
        <v>0</v>
      </c>
      <c r="L395">
        <v>0</v>
      </c>
      <c r="M395">
        <v>11</v>
      </c>
      <c r="P395" s="4"/>
    </row>
    <row r="396" spans="1:16" x14ac:dyDescent="0.3">
      <c r="A396" t="s">
        <v>131</v>
      </c>
      <c r="B396" t="s">
        <v>476</v>
      </c>
      <c r="C396">
        <v>0</v>
      </c>
      <c r="D396">
        <v>0</v>
      </c>
      <c r="E396">
        <v>0</v>
      </c>
      <c r="F396">
        <v>4</v>
      </c>
      <c r="G396">
        <v>0</v>
      </c>
      <c r="H396">
        <v>0</v>
      </c>
      <c r="I396">
        <v>0</v>
      </c>
      <c r="J396">
        <v>0</v>
      </c>
      <c r="K396">
        <v>0</v>
      </c>
      <c r="L396">
        <v>0</v>
      </c>
      <c r="M396">
        <v>4</v>
      </c>
      <c r="P396" s="3"/>
    </row>
    <row r="397" spans="1:16" x14ac:dyDescent="0.3">
      <c r="A397" t="s">
        <v>131</v>
      </c>
      <c r="B397" t="s">
        <v>477</v>
      </c>
      <c r="C397">
        <v>0</v>
      </c>
      <c r="D397">
        <v>0</v>
      </c>
      <c r="E397">
        <v>0</v>
      </c>
      <c r="F397">
        <v>0</v>
      </c>
      <c r="G397">
        <v>0</v>
      </c>
      <c r="H397">
        <v>0</v>
      </c>
      <c r="I397">
        <v>0</v>
      </c>
      <c r="J397">
        <v>0</v>
      </c>
      <c r="K397">
        <v>1</v>
      </c>
      <c r="L397">
        <v>0</v>
      </c>
      <c r="M397">
        <v>1</v>
      </c>
      <c r="P397" s="4"/>
    </row>
    <row r="398" spans="1:16" x14ac:dyDescent="0.3">
      <c r="A398" t="s">
        <v>131</v>
      </c>
      <c r="B398" t="s">
        <v>478</v>
      </c>
      <c r="C398">
        <v>0</v>
      </c>
      <c r="D398">
        <v>1</v>
      </c>
      <c r="E398">
        <v>0</v>
      </c>
      <c r="F398">
        <v>0</v>
      </c>
      <c r="G398">
        <v>0</v>
      </c>
      <c r="H398">
        <v>0</v>
      </c>
      <c r="I398">
        <v>0</v>
      </c>
      <c r="J398">
        <v>0</v>
      </c>
      <c r="K398">
        <v>0</v>
      </c>
      <c r="L398">
        <v>0</v>
      </c>
      <c r="M398">
        <v>1</v>
      </c>
      <c r="P398" s="3"/>
    </row>
    <row r="399" spans="1:16" x14ac:dyDescent="0.3">
      <c r="A399" t="s">
        <v>131</v>
      </c>
      <c r="B399" t="s">
        <v>479</v>
      </c>
      <c r="C399">
        <v>0</v>
      </c>
      <c r="D399">
        <v>0</v>
      </c>
      <c r="E399">
        <v>207</v>
      </c>
      <c r="F399">
        <v>565</v>
      </c>
      <c r="G399">
        <v>472</v>
      </c>
      <c r="H399">
        <v>238</v>
      </c>
      <c r="I399">
        <v>392</v>
      </c>
      <c r="J399">
        <v>864</v>
      </c>
      <c r="K399">
        <v>711</v>
      </c>
      <c r="L399">
        <v>277</v>
      </c>
      <c r="M399">
        <v>3726</v>
      </c>
      <c r="P399" s="4"/>
    </row>
    <row r="400" spans="1:16" x14ac:dyDescent="0.3">
      <c r="A400" t="s">
        <v>136</v>
      </c>
      <c r="B400" t="s">
        <v>479</v>
      </c>
      <c r="C400">
        <v>0</v>
      </c>
      <c r="D400">
        <v>0</v>
      </c>
      <c r="E400">
        <v>0</v>
      </c>
      <c r="F400">
        <v>0</v>
      </c>
      <c r="G400">
        <v>1</v>
      </c>
      <c r="H400">
        <v>0</v>
      </c>
      <c r="I400">
        <v>0</v>
      </c>
      <c r="J400">
        <v>0</v>
      </c>
      <c r="K400">
        <v>0</v>
      </c>
      <c r="L400">
        <v>0</v>
      </c>
      <c r="M400">
        <v>1</v>
      </c>
      <c r="P400" s="3"/>
    </row>
    <row r="401" spans="1:16" x14ac:dyDescent="0.3">
      <c r="A401" t="s">
        <v>133</v>
      </c>
      <c r="B401" t="s">
        <v>480</v>
      </c>
      <c r="C401">
        <v>0</v>
      </c>
      <c r="D401">
        <v>0</v>
      </c>
      <c r="E401">
        <v>0</v>
      </c>
      <c r="F401">
        <v>0</v>
      </c>
      <c r="G401">
        <v>0</v>
      </c>
      <c r="H401">
        <v>0</v>
      </c>
      <c r="I401">
        <v>9</v>
      </c>
      <c r="J401">
        <v>7</v>
      </c>
      <c r="K401">
        <v>11</v>
      </c>
      <c r="L401">
        <v>0</v>
      </c>
      <c r="M401">
        <v>27</v>
      </c>
      <c r="P401" s="4"/>
    </row>
    <row r="402" spans="1:16" x14ac:dyDescent="0.3">
      <c r="A402" t="s">
        <v>131</v>
      </c>
      <c r="B402" t="s">
        <v>481</v>
      </c>
      <c r="C402">
        <v>0</v>
      </c>
      <c r="D402">
        <v>0</v>
      </c>
      <c r="E402">
        <v>0</v>
      </c>
      <c r="F402">
        <v>0</v>
      </c>
      <c r="G402">
        <v>7</v>
      </c>
      <c r="H402">
        <v>0</v>
      </c>
      <c r="I402">
        <v>0</v>
      </c>
      <c r="J402">
        <v>12</v>
      </c>
      <c r="K402">
        <v>5</v>
      </c>
      <c r="L402">
        <v>10</v>
      </c>
      <c r="M402">
        <v>34</v>
      </c>
      <c r="P402" s="3"/>
    </row>
    <row r="403" spans="1:16" x14ac:dyDescent="0.3">
      <c r="A403" t="s">
        <v>133</v>
      </c>
      <c r="B403" t="s">
        <v>482</v>
      </c>
      <c r="C403">
        <v>0</v>
      </c>
      <c r="D403">
        <v>0</v>
      </c>
      <c r="E403">
        <v>0</v>
      </c>
      <c r="F403">
        <v>0</v>
      </c>
      <c r="G403">
        <v>0</v>
      </c>
      <c r="H403">
        <v>0</v>
      </c>
      <c r="I403">
        <v>0</v>
      </c>
      <c r="J403">
        <v>0</v>
      </c>
      <c r="K403">
        <v>128</v>
      </c>
      <c r="L403">
        <v>184</v>
      </c>
      <c r="M403">
        <v>312</v>
      </c>
      <c r="P403" s="4"/>
    </row>
    <row r="404" spans="1:16" x14ac:dyDescent="0.3">
      <c r="A404" t="s">
        <v>131</v>
      </c>
      <c r="B404" t="s">
        <v>482</v>
      </c>
      <c r="C404">
        <v>0</v>
      </c>
      <c r="D404">
        <v>0</v>
      </c>
      <c r="E404">
        <v>0</v>
      </c>
      <c r="F404">
        <v>0</v>
      </c>
      <c r="G404">
        <v>0</v>
      </c>
      <c r="H404">
        <v>0</v>
      </c>
      <c r="I404">
        <v>0</v>
      </c>
      <c r="J404">
        <v>0</v>
      </c>
      <c r="K404">
        <v>145</v>
      </c>
      <c r="L404">
        <v>155</v>
      </c>
      <c r="M404">
        <v>300</v>
      </c>
      <c r="P404" s="3"/>
    </row>
    <row r="405" spans="1:16" x14ac:dyDescent="0.3">
      <c r="A405" t="s">
        <v>131</v>
      </c>
      <c r="B405" t="s">
        <v>483</v>
      </c>
      <c r="C405">
        <v>0</v>
      </c>
      <c r="D405">
        <v>0</v>
      </c>
      <c r="E405">
        <v>0</v>
      </c>
      <c r="F405">
        <v>1</v>
      </c>
      <c r="G405">
        <v>93</v>
      </c>
      <c r="H405">
        <v>48</v>
      </c>
      <c r="I405">
        <v>55</v>
      </c>
      <c r="J405">
        <v>86</v>
      </c>
      <c r="K405">
        <v>74</v>
      </c>
      <c r="L405">
        <v>32</v>
      </c>
      <c r="M405">
        <v>389</v>
      </c>
      <c r="P405" s="4"/>
    </row>
    <row r="406" spans="1:16" x14ac:dyDescent="0.3">
      <c r="A406" t="s">
        <v>136</v>
      </c>
      <c r="B406" t="s">
        <v>484</v>
      </c>
      <c r="C406">
        <v>15</v>
      </c>
      <c r="D406">
        <v>6</v>
      </c>
      <c r="E406">
        <v>15</v>
      </c>
      <c r="F406">
        <v>1</v>
      </c>
      <c r="G406">
        <v>0</v>
      </c>
      <c r="H406">
        <v>0</v>
      </c>
      <c r="I406">
        <v>1</v>
      </c>
      <c r="J406">
        <v>0</v>
      </c>
      <c r="K406">
        <v>2</v>
      </c>
      <c r="L406">
        <v>0</v>
      </c>
      <c r="M406">
        <v>40</v>
      </c>
      <c r="P406" s="3"/>
    </row>
    <row r="407" spans="1:16" x14ac:dyDescent="0.3">
      <c r="A407" t="s">
        <v>131</v>
      </c>
      <c r="B407" t="s">
        <v>485</v>
      </c>
      <c r="C407">
        <v>35</v>
      </c>
      <c r="D407">
        <v>195</v>
      </c>
      <c r="E407">
        <v>55</v>
      </c>
      <c r="F407">
        <v>9</v>
      </c>
      <c r="G407">
        <v>0</v>
      </c>
      <c r="H407">
        <v>0</v>
      </c>
      <c r="I407">
        <v>0</v>
      </c>
      <c r="J407">
        <v>0</v>
      </c>
      <c r="K407">
        <v>0</v>
      </c>
      <c r="L407">
        <v>0</v>
      </c>
      <c r="M407">
        <v>294</v>
      </c>
      <c r="P407" s="4"/>
    </row>
    <row r="408" spans="1:16" x14ac:dyDescent="0.3">
      <c r="A408" t="s">
        <v>136</v>
      </c>
      <c r="B408" t="s">
        <v>485</v>
      </c>
      <c r="C408">
        <v>0</v>
      </c>
      <c r="D408">
        <v>1</v>
      </c>
      <c r="E408">
        <v>2</v>
      </c>
      <c r="F408">
        <v>15</v>
      </c>
      <c r="G408">
        <v>0</v>
      </c>
      <c r="H408">
        <v>0</v>
      </c>
      <c r="I408">
        <v>0</v>
      </c>
      <c r="J408">
        <v>0</v>
      </c>
      <c r="K408">
        <v>0</v>
      </c>
      <c r="L408">
        <v>0</v>
      </c>
      <c r="M408">
        <v>18</v>
      </c>
      <c r="P408" s="3"/>
    </row>
    <row r="409" spans="1:16" x14ac:dyDescent="0.3">
      <c r="A409" t="s">
        <v>131</v>
      </c>
      <c r="B409" t="s">
        <v>486</v>
      </c>
      <c r="C409">
        <v>0</v>
      </c>
      <c r="D409">
        <v>73</v>
      </c>
      <c r="E409">
        <v>348</v>
      </c>
      <c r="F409">
        <v>506</v>
      </c>
      <c r="G409">
        <v>693</v>
      </c>
      <c r="H409">
        <v>787</v>
      </c>
      <c r="I409">
        <v>743</v>
      </c>
      <c r="J409">
        <v>644</v>
      </c>
      <c r="K409">
        <v>462</v>
      </c>
      <c r="L409">
        <v>36</v>
      </c>
      <c r="M409">
        <v>4292</v>
      </c>
      <c r="P409" s="4"/>
    </row>
    <row r="410" spans="1:16" x14ac:dyDescent="0.3">
      <c r="A410" t="s">
        <v>136</v>
      </c>
      <c r="B410" t="s">
        <v>486</v>
      </c>
      <c r="C410">
        <v>0</v>
      </c>
      <c r="D410">
        <v>0</v>
      </c>
      <c r="E410">
        <v>0</v>
      </c>
      <c r="F410">
        <v>1</v>
      </c>
      <c r="G410">
        <v>0</v>
      </c>
      <c r="H410">
        <v>0</v>
      </c>
      <c r="I410">
        <v>0</v>
      </c>
      <c r="J410">
        <v>0</v>
      </c>
      <c r="K410">
        <v>0</v>
      </c>
      <c r="L410">
        <v>0</v>
      </c>
      <c r="M410">
        <v>1</v>
      </c>
      <c r="P410" s="3"/>
    </row>
    <row r="411" spans="1:16" x14ac:dyDescent="0.3">
      <c r="A411" t="s">
        <v>133</v>
      </c>
      <c r="B411" t="s">
        <v>487</v>
      </c>
      <c r="C411">
        <v>0</v>
      </c>
      <c r="D411">
        <v>0</v>
      </c>
      <c r="E411">
        <v>0</v>
      </c>
      <c r="F411">
        <v>0</v>
      </c>
      <c r="G411">
        <v>0</v>
      </c>
      <c r="H411">
        <v>0</v>
      </c>
      <c r="I411">
        <v>0</v>
      </c>
      <c r="J411">
        <v>0</v>
      </c>
      <c r="K411">
        <v>71</v>
      </c>
      <c r="L411">
        <v>0</v>
      </c>
      <c r="M411">
        <v>71</v>
      </c>
      <c r="P411" s="4"/>
    </row>
    <row r="412" spans="1:16" x14ac:dyDescent="0.3">
      <c r="A412" t="s">
        <v>133</v>
      </c>
      <c r="B412" t="s">
        <v>488</v>
      </c>
      <c r="C412">
        <v>0</v>
      </c>
      <c r="D412">
        <v>0</v>
      </c>
      <c r="E412">
        <v>0</v>
      </c>
      <c r="F412">
        <v>0</v>
      </c>
      <c r="G412">
        <v>0</v>
      </c>
      <c r="H412">
        <v>0</v>
      </c>
      <c r="I412">
        <v>0</v>
      </c>
      <c r="J412">
        <v>0</v>
      </c>
      <c r="K412">
        <v>18</v>
      </c>
      <c r="L412">
        <v>115</v>
      </c>
      <c r="M412">
        <v>133</v>
      </c>
      <c r="P412" s="3"/>
    </row>
    <row r="413" spans="1:16" x14ac:dyDescent="0.3">
      <c r="A413" t="s">
        <v>131</v>
      </c>
      <c r="B413" t="s">
        <v>489</v>
      </c>
      <c r="C413">
        <v>0</v>
      </c>
      <c r="D413">
        <v>0</v>
      </c>
      <c r="E413">
        <v>0</v>
      </c>
      <c r="F413">
        <v>0</v>
      </c>
      <c r="G413">
        <v>0</v>
      </c>
      <c r="H413">
        <v>0</v>
      </c>
      <c r="I413">
        <v>0</v>
      </c>
      <c r="J413">
        <v>0</v>
      </c>
      <c r="K413">
        <v>1</v>
      </c>
      <c r="L413">
        <v>0</v>
      </c>
      <c r="M413">
        <v>1</v>
      </c>
      <c r="P413" s="4"/>
    </row>
    <row r="414" spans="1:16" x14ac:dyDescent="0.3">
      <c r="A414" t="s">
        <v>133</v>
      </c>
      <c r="B414" t="s">
        <v>490</v>
      </c>
      <c r="C414">
        <v>0</v>
      </c>
      <c r="D414">
        <v>0</v>
      </c>
      <c r="E414">
        <v>0</v>
      </c>
      <c r="F414">
        <v>0</v>
      </c>
      <c r="G414">
        <v>0</v>
      </c>
      <c r="H414">
        <v>0</v>
      </c>
      <c r="I414">
        <v>0</v>
      </c>
      <c r="J414">
        <v>0</v>
      </c>
      <c r="K414">
        <v>1</v>
      </c>
      <c r="L414">
        <v>1</v>
      </c>
      <c r="M414">
        <v>2</v>
      </c>
      <c r="P414" s="3"/>
    </row>
    <row r="415" spans="1:16" x14ac:dyDescent="0.3">
      <c r="A415" t="s">
        <v>131</v>
      </c>
      <c r="B415" t="s">
        <v>491</v>
      </c>
      <c r="C415">
        <v>1</v>
      </c>
      <c r="D415">
        <v>19</v>
      </c>
      <c r="E415">
        <v>36</v>
      </c>
      <c r="F415">
        <v>2</v>
      </c>
      <c r="G415">
        <v>3</v>
      </c>
      <c r="H415">
        <v>0</v>
      </c>
      <c r="I415">
        <v>0</v>
      </c>
      <c r="J415">
        <v>0</v>
      </c>
      <c r="K415">
        <v>0</v>
      </c>
      <c r="L415">
        <v>0</v>
      </c>
      <c r="M415">
        <v>61</v>
      </c>
      <c r="P415" s="4"/>
    </row>
    <row r="416" spans="1:16" x14ac:dyDescent="0.3">
      <c r="A416" t="s">
        <v>131</v>
      </c>
      <c r="B416" t="s">
        <v>492</v>
      </c>
      <c r="C416">
        <v>0</v>
      </c>
      <c r="D416">
        <v>15</v>
      </c>
      <c r="E416">
        <v>21</v>
      </c>
      <c r="F416">
        <v>3</v>
      </c>
      <c r="G416">
        <v>0</v>
      </c>
      <c r="H416">
        <v>1</v>
      </c>
      <c r="I416">
        <v>0</v>
      </c>
      <c r="J416">
        <v>0</v>
      </c>
      <c r="K416">
        <v>0</v>
      </c>
      <c r="L416">
        <v>0</v>
      </c>
      <c r="M416">
        <v>40</v>
      </c>
      <c r="P416" s="3"/>
    </row>
    <row r="417" spans="1:16" x14ac:dyDescent="0.3">
      <c r="A417" t="s">
        <v>131</v>
      </c>
      <c r="B417" t="s">
        <v>493</v>
      </c>
      <c r="C417">
        <v>0</v>
      </c>
      <c r="D417">
        <v>97</v>
      </c>
      <c r="E417">
        <v>86</v>
      </c>
      <c r="F417">
        <v>5</v>
      </c>
      <c r="G417">
        <v>0</v>
      </c>
      <c r="H417">
        <v>0</v>
      </c>
      <c r="I417">
        <v>0</v>
      </c>
      <c r="J417">
        <v>0</v>
      </c>
      <c r="K417">
        <v>0</v>
      </c>
      <c r="L417">
        <v>0</v>
      </c>
      <c r="M417">
        <v>188</v>
      </c>
      <c r="P417" s="4"/>
    </row>
    <row r="418" spans="1:16" x14ac:dyDescent="0.3">
      <c r="A418" t="s">
        <v>131</v>
      </c>
      <c r="B418" t="s">
        <v>494</v>
      </c>
      <c r="C418">
        <v>0</v>
      </c>
      <c r="D418">
        <v>0</v>
      </c>
      <c r="E418">
        <v>3</v>
      </c>
      <c r="F418">
        <v>59</v>
      </c>
      <c r="G418">
        <v>53</v>
      </c>
      <c r="H418">
        <v>19</v>
      </c>
      <c r="I418">
        <v>10</v>
      </c>
      <c r="J418">
        <v>25</v>
      </c>
      <c r="K418">
        <v>0</v>
      </c>
      <c r="L418">
        <v>0</v>
      </c>
      <c r="M418">
        <v>169</v>
      </c>
      <c r="P418" s="3"/>
    </row>
    <row r="419" spans="1:16" x14ac:dyDescent="0.3">
      <c r="A419" t="s">
        <v>131</v>
      </c>
      <c r="B419" t="s">
        <v>495</v>
      </c>
      <c r="C419">
        <v>0</v>
      </c>
      <c r="D419">
        <v>0</v>
      </c>
      <c r="E419">
        <v>1</v>
      </c>
      <c r="F419">
        <v>0</v>
      </c>
      <c r="G419">
        <v>0</v>
      </c>
      <c r="H419">
        <v>0</v>
      </c>
      <c r="I419">
        <v>0</v>
      </c>
      <c r="J419">
        <v>0</v>
      </c>
      <c r="K419">
        <v>0</v>
      </c>
      <c r="L419">
        <v>0</v>
      </c>
      <c r="M419">
        <v>1</v>
      </c>
      <c r="P419" s="4"/>
    </row>
    <row r="420" spans="1:16" x14ac:dyDescent="0.3">
      <c r="A420" t="s">
        <v>131</v>
      </c>
      <c r="B420" t="s">
        <v>496</v>
      </c>
      <c r="C420">
        <v>0</v>
      </c>
      <c r="D420">
        <v>0</v>
      </c>
      <c r="E420">
        <v>0</v>
      </c>
      <c r="F420">
        <v>277</v>
      </c>
      <c r="G420">
        <v>262</v>
      </c>
      <c r="H420">
        <v>292</v>
      </c>
      <c r="I420">
        <v>518</v>
      </c>
      <c r="J420">
        <v>1054</v>
      </c>
      <c r="K420">
        <v>1494</v>
      </c>
      <c r="L420">
        <v>939</v>
      </c>
      <c r="M420">
        <v>4836</v>
      </c>
      <c r="P420" s="3"/>
    </row>
    <row r="421" spans="1:16" x14ac:dyDescent="0.3">
      <c r="A421" t="s">
        <v>133</v>
      </c>
      <c r="B421" t="s">
        <v>497</v>
      </c>
      <c r="C421">
        <v>0</v>
      </c>
      <c r="D421">
        <v>0</v>
      </c>
      <c r="E421">
        <v>0</v>
      </c>
      <c r="F421">
        <v>0</v>
      </c>
      <c r="G421">
        <v>1</v>
      </c>
      <c r="H421">
        <v>94</v>
      </c>
      <c r="I421">
        <v>1409</v>
      </c>
      <c r="J421">
        <v>5343</v>
      </c>
      <c r="K421">
        <v>3040</v>
      </c>
      <c r="L421">
        <v>952</v>
      </c>
      <c r="M421">
        <v>10839</v>
      </c>
      <c r="P421" s="4"/>
    </row>
    <row r="422" spans="1:16" x14ac:dyDescent="0.3">
      <c r="A422" t="s">
        <v>131</v>
      </c>
      <c r="B422" t="s">
        <v>498</v>
      </c>
      <c r="C422">
        <v>0</v>
      </c>
      <c r="D422">
        <v>0</v>
      </c>
      <c r="E422">
        <v>0</v>
      </c>
      <c r="F422">
        <v>0</v>
      </c>
      <c r="G422">
        <v>51</v>
      </c>
      <c r="H422">
        <v>0</v>
      </c>
      <c r="I422">
        <v>21</v>
      </c>
      <c r="J422">
        <v>65</v>
      </c>
      <c r="K422">
        <v>136</v>
      </c>
      <c r="L422">
        <v>11</v>
      </c>
      <c r="M422">
        <v>284</v>
      </c>
      <c r="P422" s="3"/>
    </row>
    <row r="423" spans="1:16" x14ac:dyDescent="0.3">
      <c r="A423" t="s">
        <v>131</v>
      </c>
      <c r="B423" t="s">
        <v>499</v>
      </c>
      <c r="C423">
        <v>0</v>
      </c>
      <c r="D423">
        <v>0</v>
      </c>
      <c r="E423">
        <v>0</v>
      </c>
      <c r="F423">
        <v>241</v>
      </c>
      <c r="G423">
        <v>1628</v>
      </c>
      <c r="H423">
        <v>1476</v>
      </c>
      <c r="I423">
        <v>1546</v>
      </c>
      <c r="J423">
        <v>2154</v>
      </c>
      <c r="K423">
        <v>3411</v>
      </c>
      <c r="L423">
        <v>2043</v>
      </c>
      <c r="M423">
        <v>12499</v>
      </c>
      <c r="P423" s="4"/>
    </row>
    <row r="424" spans="1:16" x14ac:dyDescent="0.3">
      <c r="A424" t="s">
        <v>136</v>
      </c>
      <c r="B424" t="s">
        <v>500</v>
      </c>
      <c r="C424">
        <v>0</v>
      </c>
      <c r="D424">
        <v>2</v>
      </c>
      <c r="E424">
        <v>0</v>
      </c>
      <c r="F424">
        <v>0</v>
      </c>
      <c r="G424">
        <v>0</v>
      </c>
      <c r="H424">
        <v>0</v>
      </c>
      <c r="I424">
        <v>0</v>
      </c>
      <c r="J424">
        <v>0</v>
      </c>
      <c r="K424">
        <v>0</v>
      </c>
      <c r="L424">
        <v>0</v>
      </c>
      <c r="M424">
        <v>2</v>
      </c>
      <c r="P424" s="3"/>
    </row>
    <row r="425" spans="1:16" x14ac:dyDescent="0.3">
      <c r="A425" t="s">
        <v>131</v>
      </c>
      <c r="B425" t="s">
        <v>501</v>
      </c>
      <c r="C425">
        <v>0</v>
      </c>
      <c r="D425">
        <v>0</v>
      </c>
      <c r="E425">
        <v>1</v>
      </c>
      <c r="F425">
        <v>0</v>
      </c>
      <c r="G425">
        <v>0</v>
      </c>
      <c r="H425">
        <v>0</v>
      </c>
      <c r="I425">
        <v>0</v>
      </c>
      <c r="J425">
        <v>0</v>
      </c>
      <c r="K425">
        <v>0</v>
      </c>
      <c r="L425">
        <v>0</v>
      </c>
      <c r="M425">
        <v>1</v>
      </c>
      <c r="P425" s="4"/>
    </row>
    <row r="426" spans="1:16" x14ac:dyDescent="0.3">
      <c r="A426" t="s">
        <v>133</v>
      </c>
      <c r="B426" t="s">
        <v>502</v>
      </c>
      <c r="C426">
        <v>0</v>
      </c>
      <c r="D426">
        <v>0</v>
      </c>
      <c r="E426">
        <v>0</v>
      </c>
      <c r="F426">
        <v>0</v>
      </c>
      <c r="G426">
        <v>0</v>
      </c>
      <c r="H426">
        <v>0</v>
      </c>
      <c r="I426">
        <v>0</v>
      </c>
      <c r="J426">
        <v>410</v>
      </c>
      <c r="K426">
        <v>24045</v>
      </c>
      <c r="L426">
        <v>18424</v>
      </c>
      <c r="M426">
        <v>42879</v>
      </c>
      <c r="P426" s="3"/>
    </row>
    <row r="427" spans="1:16" x14ac:dyDescent="0.3">
      <c r="A427" t="s">
        <v>131</v>
      </c>
      <c r="B427" t="s">
        <v>503</v>
      </c>
      <c r="C427">
        <v>0</v>
      </c>
      <c r="D427">
        <v>0</v>
      </c>
      <c r="E427">
        <v>9</v>
      </c>
      <c r="F427">
        <v>0</v>
      </c>
      <c r="G427">
        <v>0</v>
      </c>
      <c r="H427">
        <v>0</v>
      </c>
      <c r="I427">
        <v>0</v>
      </c>
      <c r="J427">
        <v>0</v>
      </c>
      <c r="K427">
        <v>0</v>
      </c>
      <c r="L427">
        <v>0</v>
      </c>
      <c r="M427">
        <v>9</v>
      </c>
      <c r="P427" s="4"/>
    </row>
    <row r="428" spans="1:16" x14ac:dyDescent="0.3">
      <c r="A428" t="s">
        <v>131</v>
      </c>
      <c r="B428" t="s">
        <v>504</v>
      </c>
      <c r="C428">
        <v>0</v>
      </c>
      <c r="D428">
        <v>0</v>
      </c>
      <c r="E428">
        <v>0</v>
      </c>
      <c r="F428">
        <v>0</v>
      </c>
      <c r="G428">
        <v>0</v>
      </c>
      <c r="H428">
        <v>0</v>
      </c>
      <c r="I428">
        <v>0</v>
      </c>
      <c r="J428">
        <v>69</v>
      </c>
      <c r="K428">
        <v>42</v>
      </c>
      <c r="L428">
        <v>172</v>
      </c>
      <c r="M428">
        <v>283</v>
      </c>
      <c r="P428" s="3"/>
    </row>
    <row r="429" spans="1:16" x14ac:dyDescent="0.3">
      <c r="A429" t="s">
        <v>131</v>
      </c>
      <c r="B429" t="s">
        <v>505</v>
      </c>
      <c r="C429">
        <v>1</v>
      </c>
      <c r="D429">
        <v>627</v>
      </c>
      <c r="E429">
        <v>650</v>
      </c>
      <c r="F429">
        <v>246</v>
      </c>
      <c r="G429">
        <v>182</v>
      </c>
      <c r="H429">
        <v>25</v>
      </c>
      <c r="I429">
        <v>3</v>
      </c>
      <c r="J429">
        <v>175</v>
      </c>
      <c r="K429">
        <v>442</v>
      </c>
      <c r="L429">
        <v>169</v>
      </c>
      <c r="M429">
        <v>2520</v>
      </c>
      <c r="P429" s="4"/>
    </row>
    <row r="430" spans="1:16" x14ac:dyDescent="0.3">
      <c r="A430" t="s">
        <v>131</v>
      </c>
      <c r="B430" t="s">
        <v>506</v>
      </c>
      <c r="C430">
        <v>0</v>
      </c>
      <c r="D430">
        <v>78</v>
      </c>
      <c r="E430">
        <v>175</v>
      </c>
      <c r="F430">
        <v>10</v>
      </c>
      <c r="G430">
        <v>4</v>
      </c>
      <c r="H430">
        <v>6</v>
      </c>
      <c r="I430">
        <v>3</v>
      </c>
      <c r="J430">
        <v>1</v>
      </c>
      <c r="K430">
        <v>0</v>
      </c>
      <c r="L430">
        <v>0</v>
      </c>
      <c r="M430">
        <v>277</v>
      </c>
      <c r="P430" s="3"/>
    </row>
    <row r="431" spans="1:16" x14ac:dyDescent="0.3">
      <c r="A431" t="s">
        <v>131</v>
      </c>
      <c r="B431" t="s">
        <v>507</v>
      </c>
      <c r="C431">
        <v>0</v>
      </c>
      <c r="D431">
        <v>37</v>
      </c>
      <c r="E431">
        <v>146</v>
      </c>
      <c r="F431">
        <v>140</v>
      </c>
      <c r="G431">
        <v>146</v>
      </c>
      <c r="H431">
        <v>27</v>
      </c>
      <c r="I431">
        <v>14</v>
      </c>
      <c r="J431">
        <v>5</v>
      </c>
      <c r="K431">
        <v>0</v>
      </c>
      <c r="L431">
        <v>0</v>
      </c>
      <c r="M431">
        <v>515</v>
      </c>
      <c r="P431" s="4"/>
    </row>
    <row r="432" spans="1:16" x14ac:dyDescent="0.3">
      <c r="A432" t="s">
        <v>131</v>
      </c>
      <c r="B432" t="s">
        <v>508</v>
      </c>
      <c r="C432">
        <v>0</v>
      </c>
      <c r="D432">
        <v>0</v>
      </c>
      <c r="E432">
        <v>0</v>
      </c>
      <c r="F432">
        <v>0</v>
      </c>
      <c r="G432">
        <v>18</v>
      </c>
      <c r="H432">
        <v>14</v>
      </c>
      <c r="I432">
        <v>39</v>
      </c>
      <c r="J432">
        <v>36</v>
      </c>
      <c r="K432">
        <v>28</v>
      </c>
      <c r="L432">
        <v>27</v>
      </c>
      <c r="M432">
        <v>162</v>
      </c>
      <c r="P432" s="3"/>
    </row>
    <row r="433" spans="1:16" x14ac:dyDescent="0.3">
      <c r="A433" t="s">
        <v>131</v>
      </c>
      <c r="B433" t="s">
        <v>509</v>
      </c>
      <c r="C433">
        <v>0</v>
      </c>
      <c r="D433">
        <v>0</v>
      </c>
      <c r="E433">
        <v>0</v>
      </c>
      <c r="F433">
        <v>8</v>
      </c>
      <c r="G433">
        <v>0</v>
      </c>
      <c r="H433">
        <v>0</v>
      </c>
      <c r="I433">
        <v>24</v>
      </c>
      <c r="J433">
        <v>15</v>
      </c>
      <c r="K433">
        <v>345</v>
      </c>
      <c r="L433">
        <v>176</v>
      </c>
      <c r="M433">
        <v>568</v>
      </c>
      <c r="P433" s="4"/>
    </row>
    <row r="434" spans="1:16" x14ac:dyDescent="0.3">
      <c r="A434" t="s">
        <v>136</v>
      </c>
      <c r="B434" t="s">
        <v>509</v>
      </c>
      <c r="C434">
        <v>0</v>
      </c>
      <c r="D434">
        <v>0</v>
      </c>
      <c r="E434">
        <v>0</v>
      </c>
      <c r="F434">
        <v>1</v>
      </c>
      <c r="G434">
        <v>0</v>
      </c>
      <c r="H434">
        <v>0</v>
      </c>
      <c r="I434">
        <v>0</v>
      </c>
      <c r="J434">
        <v>0</v>
      </c>
      <c r="K434">
        <v>0</v>
      </c>
      <c r="L434">
        <v>0</v>
      </c>
      <c r="M434">
        <v>1</v>
      </c>
      <c r="P434" s="3"/>
    </row>
    <row r="435" spans="1:16" x14ac:dyDescent="0.3">
      <c r="A435" t="s">
        <v>131</v>
      </c>
      <c r="B435" t="s">
        <v>510</v>
      </c>
      <c r="C435">
        <v>0</v>
      </c>
      <c r="D435">
        <v>0</v>
      </c>
      <c r="E435">
        <v>0</v>
      </c>
      <c r="F435">
        <v>0</v>
      </c>
      <c r="G435">
        <v>0</v>
      </c>
      <c r="H435">
        <v>0</v>
      </c>
      <c r="I435">
        <v>0</v>
      </c>
      <c r="J435">
        <v>0</v>
      </c>
      <c r="K435">
        <v>46</v>
      </c>
      <c r="L435">
        <v>22</v>
      </c>
      <c r="M435">
        <v>68</v>
      </c>
      <c r="P435" s="4"/>
    </row>
    <row r="436" spans="1:16" x14ac:dyDescent="0.3">
      <c r="A436" t="s">
        <v>131</v>
      </c>
      <c r="B436" t="s">
        <v>511</v>
      </c>
      <c r="C436">
        <v>0</v>
      </c>
      <c r="D436">
        <v>0</v>
      </c>
      <c r="E436">
        <v>178</v>
      </c>
      <c r="F436">
        <v>570</v>
      </c>
      <c r="G436">
        <v>543</v>
      </c>
      <c r="H436">
        <v>100</v>
      </c>
      <c r="I436">
        <v>129</v>
      </c>
      <c r="J436">
        <v>43</v>
      </c>
      <c r="K436">
        <v>221</v>
      </c>
      <c r="L436">
        <v>198</v>
      </c>
      <c r="M436">
        <v>1982</v>
      </c>
      <c r="P436" s="3"/>
    </row>
    <row r="437" spans="1:16" x14ac:dyDescent="0.3">
      <c r="A437" t="s">
        <v>131</v>
      </c>
      <c r="B437" t="s">
        <v>512</v>
      </c>
      <c r="C437">
        <v>0</v>
      </c>
      <c r="D437">
        <v>0</v>
      </c>
      <c r="E437">
        <v>47</v>
      </c>
      <c r="F437">
        <v>220</v>
      </c>
      <c r="G437">
        <v>89</v>
      </c>
      <c r="H437">
        <v>38</v>
      </c>
      <c r="I437">
        <v>13</v>
      </c>
      <c r="J437">
        <v>14</v>
      </c>
      <c r="K437">
        <v>11</v>
      </c>
      <c r="L437">
        <v>4</v>
      </c>
      <c r="M437">
        <v>436</v>
      </c>
      <c r="P437" s="4"/>
    </row>
    <row r="438" spans="1:16" x14ac:dyDescent="0.3">
      <c r="A438" t="s">
        <v>136</v>
      </c>
      <c r="B438" t="s">
        <v>512</v>
      </c>
      <c r="C438">
        <v>0</v>
      </c>
      <c r="D438">
        <v>0</v>
      </c>
      <c r="E438">
        <v>0</v>
      </c>
      <c r="F438">
        <v>1</v>
      </c>
      <c r="G438">
        <v>0</v>
      </c>
      <c r="H438">
        <v>0</v>
      </c>
      <c r="I438">
        <v>0</v>
      </c>
      <c r="J438">
        <v>0</v>
      </c>
      <c r="K438">
        <v>0</v>
      </c>
      <c r="L438">
        <v>0</v>
      </c>
      <c r="M438">
        <v>1</v>
      </c>
      <c r="P438" s="3"/>
    </row>
    <row r="439" spans="1:16" x14ac:dyDescent="0.3">
      <c r="A439" t="s">
        <v>131</v>
      </c>
      <c r="B439" t="s">
        <v>513</v>
      </c>
      <c r="C439">
        <v>0</v>
      </c>
      <c r="D439">
        <v>0</v>
      </c>
      <c r="E439">
        <v>1</v>
      </c>
      <c r="F439">
        <v>0</v>
      </c>
      <c r="G439">
        <v>0</v>
      </c>
      <c r="H439">
        <v>1</v>
      </c>
      <c r="I439">
        <v>1</v>
      </c>
      <c r="J439">
        <v>0</v>
      </c>
      <c r="K439">
        <v>3</v>
      </c>
      <c r="L439">
        <v>1</v>
      </c>
      <c r="M439">
        <v>7</v>
      </c>
      <c r="P439" s="4"/>
    </row>
    <row r="440" spans="1:16" x14ac:dyDescent="0.3">
      <c r="A440" t="s">
        <v>131</v>
      </c>
      <c r="B440" t="s">
        <v>514</v>
      </c>
      <c r="C440">
        <v>0</v>
      </c>
      <c r="D440">
        <v>0</v>
      </c>
      <c r="E440">
        <v>31</v>
      </c>
      <c r="F440">
        <v>131</v>
      </c>
      <c r="G440">
        <v>15</v>
      </c>
      <c r="H440">
        <v>3</v>
      </c>
      <c r="I440">
        <v>0</v>
      </c>
      <c r="J440">
        <v>0</v>
      </c>
      <c r="K440">
        <v>0</v>
      </c>
      <c r="L440">
        <v>0</v>
      </c>
      <c r="M440">
        <v>180</v>
      </c>
      <c r="P440" s="3"/>
    </row>
    <row r="441" spans="1:16" x14ac:dyDescent="0.3">
      <c r="A441" t="s">
        <v>131</v>
      </c>
      <c r="B441" t="s">
        <v>515</v>
      </c>
      <c r="C441">
        <v>0</v>
      </c>
      <c r="D441">
        <v>0</v>
      </c>
      <c r="E441">
        <v>0</v>
      </c>
      <c r="F441">
        <v>10</v>
      </c>
      <c r="G441">
        <v>2</v>
      </c>
      <c r="H441">
        <v>0</v>
      </c>
      <c r="I441">
        <v>0</v>
      </c>
      <c r="J441">
        <v>0</v>
      </c>
      <c r="K441">
        <v>0</v>
      </c>
      <c r="L441">
        <v>0</v>
      </c>
      <c r="M441">
        <v>12</v>
      </c>
      <c r="P441" s="4"/>
    </row>
    <row r="442" spans="1:16" x14ac:dyDescent="0.3">
      <c r="A442" t="s">
        <v>131</v>
      </c>
      <c r="B442" t="s">
        <v>516</v>
      </c>
      <c r="C442">
        <v>0</v>
      </c>
      <c r="D442">
        <v>0</v>
      </c>
      <c r="E442">
        <v>1</v>
      </c>
      <c r="F442">
        <v>0</v>
      </c>
      <c r="G442">
        <v>0</v>
      </c>
      <c r="H442">
        <v>0</v>
      </c>
      <c r="I442">
        <v>0</v>
      </c>
      <c r="J442">
        <v>0</v>
      </c>
      <c r="K442">
        <v>116</v>
      </c>
      <c r="L442">
        <v>0</v>
      </c>
      <c r="M442">
        <v>117</v>
      </c>
      <c r="P442" s="3"/>
    </row>
    <row r="443" spans="1:16" x14ac:dyDescent="0.3">
      <c r="A443" t="s">
        <v>131</v>
      </c>
      <c r="B443" t="s">
        <v>517</v>
      </c>
      <c r="C443">
        <v>0</v>
      </c>
      <c r="D443">
        <v>0</v>
      </c>
      <c r="E443">
        <v>0</v>
      </c>
      <c r="F443">
        <v>0</v>
      </c>
      <c r="G443">
        <v>0</v>
      </c>
      <c r="H443">
        <v>0</v>
      </c>
      <c r="I443">
        <v>0</v>
      </c>
      <c r="J443">
        <v>0</v>
      </c>
      <c r="K443">
        <v>4</v>
      </c>
      <c r="L443">
        <v>168</v>
      </c>
      <c r="M443">
        <v>172</v>
      </c>
      <c r="P443" s="4"/>
    </row>
    <row r="444" spans="1:16" x14ac:dyDescent="0.3">
      <c r="A444" t="s">
        <v>131</v>
      </c>
      <c r="B444" t="s">
        <v>518</v>
      </c>
      <c r="C444">
        <v>0</v>
      </c>
      <c r="D444">
        <v>0</v>
      </c>
      <c r="E444">
        <v>0</v>
      </c>
      <c r="F444">
        <v>8</v>
      </c>
      <c r="G444">
        <v>19</v>
      </c>
      <c r="H444">
        <v>36</v>
      </c>
      <c r="I444">
        <v>6</v>
      </c>
      <c r="J444">
        <v>6</v>
      </c>
      <c r="K444">
        <v>1</v>
      </c>
      <c r="L444">
        <v>7</v>
      </c>
      <c r="M444">
        <v>83</v>
      </c>
      <c r="P444" s="3"/>
    </row>
    <row r="445" spans="1:16" x14ac:dyDescent="0.3">
      <c r="A445" t="s">
        <v>131</v>
      </c>
      <c r="B445" t="s">
        <v>519</v>
      </c>
      <c r="C445">
        <v>0</v>
      </c>
      <c r="D445">
        <v>61</v>
      </c>
      <c r="E445">
        <v>170</v>
      </c>
      <c r="F445">
        <v>98</v>
      </c>
      <c r="G445">
        <v>201</v>
      </c>
      <c r="H445">
        <v>129</v>
      </c>
      <c r="I445">
        <v>505</v>
      </c>
      <c r="J445">
        <v>905</v>
      </c>
      <c r="K445">
        <v>872</v>
      </c>
      <c r="L445">
        <v>424</v>
      </c>
      <c r="M445">
        <v>3365</v>
      </c>
      <c r="P445" s="4"/>
    </row>
    <row r="446" spans="1:16" x14ac:dyDescent="0.3">
      <c r="A446" t="s">
        <v>131</v>
      </c>
      <c r="B446" t="s">
        <v>520</v>
      </c>
      <c r="C446">
        <v>0</v>
      </c>
      <c r="D446">
        <v>0</v>
      </c>
      <c r="E446">
        <v>0</v>
      </c>
      <c r="F446">
        <v>0</v>
      </c>
      <c r="G446">
        <v>4</v>
      </c>
      <c r="H446">
        <v>29</v>
      </c>
      <c r="I446">
        <v>4</v>
      </c>
      <c r="J446">
        <v>0</v>
      </c>
      <c r="K446">
        <v>0</v>
      </c>
      <c r="L446">
        <v>0</v>
      </c>
      <c r="M446">
        <v>37</v>
      </c>
      <c r="P446" s="3"/>
    </row>
    <row r="447" spans="1:16" x14ac:dyDescent="0.3">
      <c r="A447" t="s">
        <v>131</v>
      </c>
      <c r="B447" t="s">
        <v>521</v>
      </c>
      <c r="C447">
        <v>0</v>
      </c>
      <c r="D447">
        <v>0</v>
      </c>
      <c r="E447">
        <v>0</v>
      </c>
      <c r="F447">
        <v>0</v>
      </c>
      <c r="G447">
        <v>0</v>
      </c>
      <c r="H447">
        <v>0</v>
      </c>
      <c r="I447">
        <v>0</v>
      </c>
      <c r="J447">
        <v>0</v>
      </c>
      <c r="K447">
        <v>3</v>
      </c>
      <c r="L447">
        <v>2</v>
      </c>
      <c r="M447">
        <v>5</v>
      </c>
      <c r="P447" s="4"/>
    </row>
    <row r="448" spans="1:16" x14ac:dyDescent="0.3">
      <c r="A448" t="s">
        <v>133</v>
      </c>
      <c r="B448" t="s">
        <v>522</v>
      </c>
      <c r="C448">
        <v>0</v>
      </c>
      <c r="D448">
        <v>0</v>
      </c>
      <c r="E448">
        <v>0</v>
      </c>
      <c r="F448">
        <v>0</v>
      </c>
      <c r="G448">
        <v>0</v>
      </c>
      <c r="H448">
        <v>0</v>
      </c>
      <c r="I448">
        <v>0</v>
      </c>
      <c r="J448">
        <v>0</v>
      </c>
      <c r="K448">
        <v>0</v>
      </c>
      <c r="L448">
        <v>4</v>
      </c>
      <c r="M448">
        <v>4</v>
      </c>
      <c r="P448" s="3"/>
    </row>
    <row r="449" spans="1:16" x14ac:dyDescent="0.3">
      <c r="A449" t="s">
        <v>131</v>
      </c>
      <c r="B449" t="s">
        <v>523</v>
      </c>
      <c r="C449">
        <v>0</v>
      </c>
      <c r="D449">
        <v>1</v>
      </c>
      <c r="E449">
        <v>0</v>
      </c>
      <c r="F449">
        <v>0</v>
      </c>
      <c r="G449">
        <v>0</v>
      </c>
      <c r="H449">
        <v>0</v>
      </c>
      <c r="I449">
        <v>0</v>
      </c>
      <c r="J449">
        <v>0</v>
      </c>
      <c r="K449">
        <v>0</v>
      </c>
      <c r="L449">
        <v>0</v>
      </c>
      <c r="M449">
        <v>1</v>
      </c>
      <c r="P449" s="4"/>
    </row>
    <row r="450" spans="1:16" x14ac:dyDescent="0.3">
      <c r="A450" t="s">
        <v>131</v>
      </c>
      <c r="B450" t="s">
        <v>524</v>
      </c>
      <c r="C450">
        <v>0</v>
      </c>
      <c r="D450">
        <v>1</v>
      </c>
      <c r="E450">
        <v>8</v>
      </c>
      <c r="F450">
        <v>1</v>
      </c>
      <c r="G450">
        <v>0</v>
      </c>
      <c r="H450">
        <v>0</v>
      </c>
      <c r="I450">
        <v>0</v>
      </c>
      <c r="J450">
        <v>0</v>
      </c>
      <c r="K450">
        <v>0</v>
      </c>
      <c r="L450">
        <v>0</v>
      </c>
      <c r="M450">
        <v>10</v>
      </c>
      <c r="P450" s="3"/>
    </row>
    <row r="451" spans="1:16" x14ac:dyDescent="0.3">
      <c r="A451" t="s">
        <v>131</v>
      </c>
      <c r="B451" t="s">
        <v>525</v>
      </c>
      <c r="C451">
        <v>0</v>
      </c>
      <c r="D451">
        <v>1</v>
      </c>
      <c r="E451">
        <v>8</v>
      </c>
      <c r="F451">
        <v>2</v>
      </c>
      <c r="G451">
        <v>0</v>
      </c>
      <c r="H451">
        <v>0</v>
      </c>
      <c r="I451">
        <v>0</v>
      </c>
      <c r="J451">
        <v>0</v>
      </c>
      <c r="K451">
        <v>0</v>
      </c>
      <c r="L451">
        <v>0</v>
      </c>
      <c r="M451">
        <v>11</v>
      </c>
      <c r="P451" s="4"/>
    </row>
    <row r="452" spans="1:16" x14ac:dyDescent="0.3">
      <c r="A452" t="s">
        <v>131</v>
      </c>
      <c r="B452" t="s">
        <v>526</v>
      </c>
      <c r="C452">
        <v>0</v>
      </c>
      <c r="D452">
        <v>0</v>
      </c>
      <c r="E452">
        <v>0</v>
      </c>
      <c r="F452">
        <v>0</v>
      </c>
      <c r="G452">
        <v>0</v>
      </c>
      <c r="H452">
        <v>21</v>
      </c>
      <c r="I452">
        <v>118</v>
      </c>
      <c r="J452">
        <v>117</v>
      </c>
      <c r="K452">
        <v>64</v>
      </c>
      <c r="L452">
        <v>0</v>
      </c>
      <c r="M452">
        <v>320</v>
      </c>
      <c r="P452" s="3"/>
    </row>
    <row r="453" spans="1:16" x14ac:dyDescent="0.3">
      <c r="A453" t="s">
        <v>131</v>
      </c>
      <c r="B453" t="s">
        <v>527</v>
      </c>
      <c r="C453">
        <v>0</v>
      </c>
      <c r="D453">
        <v>0</v>
      </c>
      <c r="E453">
        <v>127</v>
      </c>
      <c r="F453">
        <v>251</v>
      </c>
      <c r="G453">
        <v>383</v>
      </c>
      <c r="H453">
        <v>79</v>
      </c>
      <c r="I453">
        <v>53</v>
      </c>
      <c r="J453">
        <v>57</v>
      </c>
      <c r="K453">
        <v>37</v>
      </c>
      <c r="L453">
        <v>1</v>
      </c>
      <c r="M453">
        <v>988</v>
      </c>
      <c r="P453" s="4"/>
    </row>
    <row r="454" spans="1:16" x14ac:dyDescent="0.3">
      <c r="A454" t="s">
        <v>131</v>
      </c>
      <c r="B454" t="s">
        <v>528</v>
      </c>
      <c r="C454">
        <v>0</v>
      </c>
      <c r="D454">
        <v>0</v>
      </c>
      <c r="E454">
        <v>16</v>
      </c>
      <c r="F454">
        <v>0</v>
      </c>
      <c r="G454">
        <v>0</v>
      </c>
      <c r="H454">
        <v>0</v>
      </c>
      <c r="I454">
        <v>0</v>
      </c>
      <c r="J454">
        <v>0</v>
      </c>
      <c r="K454">
        <v>0</v>
      </c>
      <c r="L454">
        <v>0</v>
      </c>
      <c r="M454">
        <v>16</v>
      </c>
      <c r="P454" s="3"/>
    </row>
    <row r="455" spans="1:16" x14ac:dyDescent="0.3">
      <c r="A455" t="s">
        <v>131</v>
      </c>
      <c r="B455" t="s">
        <v>529</v>
      </c>
      <c r="C455">
        <v>0</v>
      </c>
      <c r="D455">
        <v>0</v>
      </c>
      <c r="E455">
        <v>1</v>
      </c>
      <c r="F455">
        <v>0</v>
      </c>
      <c r="G455">
        <v>0</v>
      </c>
      <c r="H455">
        <v>0</v>
      </c>
      <c r="I455">
        <v>0</v>
      </c>
      <c r="J455">
        <v>0</v>
      </c>
      <c r="K455">
        <v>0</v>
      </c>
      <c r="L455">
        <v>0</v>
      </c>
      <c r="M455">
        <v>1</v>
      </c>
      <c r="P455" s="4"/>
    </row>
    <row r="456" spans="1:16" x14ac:dyDescent="0.3">
      <c r="A456" t="s">
        <v>131</v>
      </c>
      <c r="B456" t="s">
        <v>530</v>
      </c>
      <c r="C456">
        <v>0</v>
      </c>
      <c r="D456">
        <v>0</v>
      </c>
      <c r="E456">
        <v>0</v>
      </c>
      <c r="F456">
        <v>1</v>
      </c>
      <c r="G456">
        <v>9</v>
      </c>
      <c r="H456">
        <v>0</v>
      </c>
      <c r="I456">
        <v>0</v>
      </c>
      <c r="J456">
        <v>0</v>
      </c>
      <c r="K456">
        <v>0</v>
      </c>
      <c r="L456">
        <v>0</v>
      </c>
      <c r="M456">
        <v>10</v>
      </c>
      <c r="P456" s="3"/>
    </row>
    <row r="457" spans="1:16" x14ac:dyDescent="0.3">
      <c r="A457" t="s">
        <v>133</v>
      </c>
      <c r="B457" t="s">
        <v>531</v>
      </c>
      <c r="C457">
        <v>0</v>
      </c>
      <c r="D457">
        <v>3</v>
      </c>
      <c r="E457">
        <v>2</v>
      </c>
      <c r="F457">
        <v>0</v>
      </c>
      <c r="G457">
        <v>0</v>
      </c>
      <c r="H457">
        <v>0</v>
      </c>
      <c r="I457">
        <v>0</v>
      </c>
      <c r="J457">
        <v>0</v>
      </c>
      <c r="K457">
        <v>0</v>
      </c>
      <c r="L457">
        <v>0</v>
      </c>
      <c r="M457">
        <v>5</v>
      </c>
      <c r="P457" s="4"/>
    </row>
    <row r="458" spans="1:16" x14ac:dyDescent="0.3">
      <c r="A458" t="s">
        <v>131</v>
      </c>
      <c r="B458" t="s">
        <v>532</v>
      </c>
      <c r="C458">
        <v>0</v>
      </c>
      <c r="D458">
        <v>0</v>
      </c>
      <c r="E458">
        <v>0</v>
      </c>
      <c r="F458">
        <v>77</v>
      </c>
      <c r="G458">
        <v>105</v>
      </c>
      <c r="H458">
        <v>3</v>
      </c>
      <c r="I458">
        <v>2</v>
      </c>
      <c r="J458">
        <v>12</v>
      </c>
      <c r="K458">
        <v>11</v>
      </c>
      <c r="L458">
        <v>0</v>
      </c>
      <c r="M458">
        <v>210</v>
      </c>
      <c r="P458" s="3"/>
    </row>
    <row r="459" spans="1:16" x14ac:dyDescent="0.3">
      <c r="A459" t="s">
        <v>131</v>
      </c>
      <c r="B459" t="s">
        <v>533</v>
      </c>
      <c r="C459">
        <v>0</v>
      </c>
      <c r="D459">
        <v>0</v>
      </c>
      <c r="E459">
        <v>0</v>
      </c>
      <c r="F459">
        <v>0</v>
      </c>
      <c r="G459">
        <v>0</v>
      </c>
      <c r="H459">
        <v>0</v>
      </c>
      <c r="I459">
        <v>0</v>
      </c>
      <c r="J459">
        <v>0</v>
      </c>
      <c r="K459">
        <v>0</v>
      </c>
      <c r="L459">
        <v>60</v>
      </c>
      <c r="M459">
        <v>60</v>
      </c>
      <c r="P459" s="4"/>
    </row>
    <row r="460" spans="1:16" x14ac:dyDescent="0.3">
      <c r="A460" t="s">
        <v>133</v>
      </c>
      <c r="B460" t="s">
        <v>534</v>
      </c>
      <c r="C460">
        <v>0</v>
      </c>
      <c r="D460">
        <v>1</v>
      </c>
      <c r="E460">
        <v>0</v>
      </c>
      <c r="F460">
        <v>0</v>
      </c>
      <c r="G460">
        <v>0</v>
      </c>
      <c r="H460">
        <v>0</v>
      </c>
      <c r="I460">
        <v>0</v>
      </c>
      <c r="J460">
        <v>0</v>
      </c>
      <c r="K460">
        <v>0</v>
      </c>
      <c r="L460">
        <v>0</v>
      </c>
      <c r="M460">
        <v>1</v>
      </c>
      <c r="P460" s="3"/>
    </row>
    <row r="461" spans="1:16" x14ac:dyDescent="0.3">
      <c r="A461" t="s">
        <v>131</v>
      </c>
      <c r="B461" t="s">
        <v>535</v>
      </c>
      <c r="C461">
        <v>0</v>
      </c>
      <c r="D461">
        <v>0</v>
      </c>
      <c r="E461">
        <v>0</v>
      </c>
      <c r="F461">
        <v>0</v>
      </c>
      <c r="G461">
        <v>0</v>
      </c>
      <c r="H461">
        <v>0</v>
      </c>
      <c r="I461">
        <v>0</v>
      </c>
      <c r="J461">
        <v>0</v>
      </c>
      <c r="K461">
        <v>8</v>
      </c>
      <c r="L461">
        <v>68</v>
      </c>
      <c r="M461">
        <v>76</v>
      </c>
      <c r="P461" s="4"/>
    </row>
    <row r="462" spans="1:16" x14ac:dyDescent="0.3">
      <c r="A462" t="s">
        <v>131</v>
      </c>
      <c r="B462" t="s">
        <v>536</v>
      </c>
      <c r="C462">
        <v>0</v>
      </c>
      <c r="D462">
        <v>0</v>
      </c>
      <c r="E462">
        <v>1</v>
      </c>
      <c r="F462">
        <v>0</v>
      </c>
      <c r="G462">
        <v>0</v>
      </c>
      <c r="H462">
        <v>0</v>
      </c>
      <c r="I462">
        <v>0</v>
      </c>
      <c r="J462">
        <v>0</v>
      </c>
      <c r="K462">
        <v>0</v>
      </c>
      <c r="L462">
        <v>0</v>
      </c>
      <c r="M462">
        <v>1</v>
      </c>
      <c r="P462" s="3"/>
    </row>
    <row r="463" spans="1:16" x14ac:dyDescent="0.3">
      <c r="A463" t="s">
        <v>131</v>
      </c>
      <c r="B463" t="s">
        <v>537</v>
      </c>
      <c r="C463">
        <v>0</v>
      </c>
      <c r="D463">
        <v>0</v>
      </c>
      <c r="E463">
        <v>67</v>
      </c>
      <c r="F463">
        <v>297</v>
      </c>
      <c r="G463">
        <v>231</v>
      </c>
      <c r="H463">
        <v>73</v>
      </c>
      <c r="I463">
        <v>75</v>
      </c>
      <c r="J463">
        <v>45</v>
      </c>
      <c r="K463">
        <v>34</v>
      </c>
      <c r="L463">
        <v>36</v>
      </c>
      <c r="M463">
        <v>858</v>
      </c>
      <c r="P463" s="4"/>
    </row>
    <row r="464" spans="1:16" x14ac:dyDescent="0.3">
      <c r="A464" t="s">
        <v>131</v>
      </c>
      <c r="B464" t="s">
        <v>538</v>
      </c>
      <c r="C464">
        <v>0</v>
      </c>
      <c r="D464">
        <v>0</v>
      </c>
      <c r="E464">
        <v>0</v>
      </c>
      <c r="F464">
        <v>0</v>
      </c>
      <c r="G464">
        <v>0</v>
      </c>
      <c r="H464">
        <v>0</v>
      </c>
      <c r="I464">
        <v>0</v>
      </c>
      <c r="J464">
        <v>0</v>
      </c>
      <c r="K464">
        <v>2</v>
      </c>
      <c r="L464">
        <v>4</v>
      </c>
      <c r="M464">
        <v>6</v>
      </c>
      <c r="P464" s="3"/>
    </row>
    <row r="465" spans="1:16" x14ac:dyDescent="0.3">
      <c r="A465" t="s">
        <v>133</v>
      </c>
      <c r="B465" t="s">
        <v>539</v>
      </c>
      <c r="C465">
        <v>0</v>
      </c>
      <c r="D465">
        <v>0</v>
      </c>
      <c r="E465">
        <v>0</v>
      </c>
      <c r="F465">
        <v>0</v>
      </c>
      <c r="G465">
        <v>0</v>
      </c>
      <c r="H465">
        <v>0</v>
      </c>
      <c r="I465">
        <v>0</v>
      </c>
      <c r="J465">
        <v>0</v>
      </c>
      <c r="K465">
        <v>4</v>
      </c>
      <c r="L465">
        <v>0</v>
      </c>
      <c r="M465">
        <v>4</v>
      </c>
      <c r="P465" s="4"/>
    </row>
    <row r="466" spans="1:16" x14ac:dyDescent="0.3">
      <c r="A466" t="s">
        <v>131</v>
      </c>
      <c r="B466" t="s">
        <v>540</v>
      </c>
      <c r="C466">
        <v>0</v>
      </c>
      <c r="D466">
        <v>0</v>
      </c>
      <c r="E466">
        <v>0</v>
      </c>
      <c r="F466">
        <v>0</v>
      </c>
      <c r="G466">
        <v>0</v>
      </c>
      <c r="H466">
        <v>0</v>
      </c>
      <c r="I466">
        <v>0</v>
      </c>
      <c r="J466">
        <v>0</v>
      </c>
      <c r="K466">
        <v>8</v>
      </c>
      <c r="L466">
        <v>16</v>
      </c>
      <c r="M466">
        <v>24</v>
      </c>
      <c r="P466" s="3"/>
    </row>
    <row r="467" spans="1:16" x14ac:dyDescent="0.3">
      <c r="A467" t="s">
        <v>131</v>
      </c>
      <c r="B467" t="s">
        <v>541</v>
      </c>
      <c r="C467">
        <v>0</v>
      </c>
      <c r="D467">
        <v>0</v>
      </c>
      <c r="E467">
        <v>4</v>
      </c>
      <c r="F467">
        <v>0</v>
      </c>
      <c r="G467">
        <v>0</v>
      </c>
      <c r="H467">
        <v>0</v>
      </c>
      <c r="I467">
        <v>0</v>
      </c>
      <c r="J467">
        <v>0</v>
      </c>
      <c r="K467">
        <v>0</v>
      </c>
      <c r="L467">
        <v>0</v>
      </c>
      <c r="M467">
        <v>4</v>
      </c>
      <c r="P467" s="4"/>
    </row>
    <row r="468" spans="1:16" x14ac:dyDescent="0.3">
      <c r="A468" t="s">
        <v>131</v>
      </c>
      <c r="B468" t="s">
        <v>542</v>
      </c>
      <c r="C468">
        <v>0</v>
      </c>
      <c r="D468">
        <v>0</v>
      </c>
      <c r="E468">
        <v>145</v>
      </c>
      <c r="F468">
        <v>16</v>
      </c>
      <c r="G468">
        <v>0</v>
      </c>
      <c r="H468">
        <v>0</v>
      </c>
      <c r="I468">
        <v>0</v>
      </c>
      <c r="J468">
        <v>0</v>
      </c>
      <c r="K468">
        <v>0</v>
      </c>
      <c r="L468">
        <v>0</v>
      </c>
      <c r="M468">
        <v>161</v>
      </c>
      <c r="P468" s="3"/>
    </row>
    <row r="469" spans="1:16" x14ac:dyDescent="0.3">
      <c r="A469" t="s">
        <v>133</v>
      </c>
      <c r="B469" t="s">
        <v>543</v>
      </c>
      <c r="C469">
        <v>33</v>
      </c>
      <c r="D469">
        <v>22</v>
      </c>
      <c r="E469">
        <v>17</v>
      </c>
      <c r="F469">
        <v>17</v>
      </c>
      <c r="G469">
        <v>8</v>
      </c>
      <c r="H469">
        <v>0</v>
      </c>
      <c r="I469">
        <v>0</v>
      </c>
      <c r="J469">
        <v>0</v>
      </c>
      <c r="K469">
        <v>0</v>
      </c>
      <c r="L469">
        <v>0</v>
      </c>
      <c r="M469">
        <v>97</v>
      </c>
      <c r="P469" s="4"/>
    </row>
    <row r="470" spans="1:16" x14ac:dyDescent="0.3">
      <c r="A470" t="s">
        <v>131</v>
      </c>
      <c r="B470" t="s">
        <v>543</v>
      </c>
      <c r="C470">
        <v>0</v>
      </c>
      <c r="D470">
        <v>10</v>
      </c>
      <c r="E470">
        <v>1</v>
      </c>
      <c r="F470">
        <v>0</v>
      </c>
      <c r="G470">
        <v>0</v>
      </c>
      <c r="H470">
        <v>0</v>
      </c>
      <c r="I470">
        <v>0</v>
      </c>
      <c r="J470">
        <v>0</v>
      </c>
      <c r="K470">
        <v>0</v>
      </c>
      <c r="L470">
        <v>0</v>
      </c>
      <c r="M470">
        <v>11</v>
      </c>
      <c r="P470" s="3"/>
    </row>
    <row r="471" spans="1:16" x14ac:dyDescent="0.3">
      <c r="A471" t="s">
        <v>133</v>
      </c>
      <c r="B471" t="s">
        <v>544</v>
      </c>
      <c r="C471">
        <v>254</v>
      </c>
      <c r="D471">
        <v>246</v>
      </c>
      <c r="E471">
        <v>164</v>
      </c>
      <c r="F471">
        <v>616</v>
      </c>
      <c r="G471">
        <v>664</v>
      </c>
      <c r="H471">
        <v>593</v>
      </c>
      <c r="I471">
        <v>3058</v>
      </c>
      <c r="J471">
        <v>2538</v>
      </c>
      <c r="K471">
        <v>0</v>
      </c>
      <c r="L471">
        <v>0</v>
      </c>
      <c r="M471">
        <v>8133</v>
      </c>
      <c r="P471" s="4"/>
    </row>
    <row r="472" spans="1:16" x14ac:dyDescent="0.3">
      <c r="A472" t="s">
        <v>131</v>
      </c>
      <c r="B472" t="s">
        <v>544</v>
      </c>
      <c r="C472">
        <v>63</v>
      </c>
      <c r="D472">
        <v>94</v>
      </c>
      <c r="E472">
        <v>42</v>
      </c>
      <c r="F472">
        <v>5</v>
      </c>
      <c r="G472">
        <v>0</v>
      </c>
      <c r="H472">
        <v>0</v>
      </c>
      <c r="I472">
        <v>0</v>
      </c>
      <c r="J472">
        <v>0</v>
      </c>
      <c r="K472">
        <v>0</v>
      </c>
      <c r="L472">
        <v>0</v>
      </c>
      <c r="M472">
        <v>204</v>
      </c>
      <c r="P472" s="3"/>
    </row>
    <row r="473" spans="1:16" x14ac:dyDescent="0.3">
      <c r="A473" t="s">
        <v>136</v>
      </c>
      <c r="B473" t="s">
        <v>544</v>
      </c>
      <c r="C473">
        <v>0</v>
      </c>
      <c r="D473">
        <v>0</v>
      </c>
      <c r="E473">
        <v>1</v>
      </c>
      <c r="F473">
        <v>0</v>
      </c>
      <c r="G473">
        <v>0</v>
      </c>
      <c r="H473">
        <v>0</v>
      </c>
      <c r="I473">
        <v>0</v>
      </c>
      <c r="J473">
        <v>0</v>
      </c>
      <c r="K473">
        <v>0</v>
      </c>
      <c r="L473">
        <v>0</v>
      </c>
      <c r="M473">
        <v>1</v>
      </c>
      <c r="P473" s="4"/>
    </row>
    <row r="474" spans="1:16" x14ac:dyDescent="0.3">
      <c r="A474" t="s">
        <v>133</v>
      </c>
      <c r="B474" t="s">
        <v>545</v>
      </c>
      <c r="C474">
        <v>1</v>
      </c>
      <c r="D474">
        <v>34</v>
      </c>
      <c r="E474">
        <v>162</v>
      </c>
      <c r="F474">
        <v>5785</v>
      </c>
      <c r="G474">
        <v>11155</v>
      </c>
      <c r="H474">
        <v>8247</v>
      </c>
      <c r="I474">
        <v>46260</v>
      </c>
      <c r="J474">
        <v>97828</v>
      </c>
      <c r="K474">
        <v>29964</v>
      </c>
      <c r="L474">
        <v>2211</v>
      </c>
      <c r="M474">
        <v>201647</v>
      </c>
      <c r="P474" s="3"/>
    </row>
    <row r="475" spans="1:16" x14ac:dyDescent="0.3">
      <c r="A475" t="s">
        <v>131</v>
      </c>
      <c r="B475" t="s">
        <v>545</v>
      </c>
      <c r="C475">
        <v>0</v>
      </c>
      <c r="D475">
        <v>0</v>
      </c>
      <c r="E475">
        <v>72</v>
      </c>
      <c r="F475">
        <v>47</v>
      </c>
      <c r="G475">
        <v>15</v>
      </c>
      <c r="H475">
        <v>0</v>
      </c>
      <c r="I475">
        <v>3</v>
      </c>
      <c r="J475">
        <v>1</v>
      </c>
      <c r="K475">
        <v>0</v>
      </c>
      <c r="L475">
        <v>0</v>
      </c>
      <c r="M475">
        <v>138</v>
      </c>
      <c r="P475" s="4"/>
    </row>
    <row r="476" spans="1:16" x14ac:dyDescent="0.3">
      <c r="A476" t="s">
        <v>133</v>
      </c>
      <c r="B476" t="s">
        <v>546</v>
      </c>
      <c r="C476">
        <v>19</v>
      </c>
      <c r="D476">
        <v>54</v>
      </c>
      <c r="E476">
        <v>4</v>
      </c>
      <c r="F476">
        <v>1</v>
      </c>
      <c r="G476">
        <v>1</v>
      </c>
      <c r="H476">
        <v>0</v>
      </c>
      <c r="I476">
        <v>0</v>
      </c>
      <c r="J476">
        <v>0</v>
      </c>
      <c r="K476">
        <v>0</v>
      </c>
      <c r="L476">
        <v>0</v>
      </c>
      <c r="M476">
        <v>79</v>
      </c>
      <c r="P476" s="3"/>
    </row>
    <row r="477" spans="1:16" x14ac:dyDescent="0.3">
      <c r="A477" t="s">
        <v>133</v>
      </c>
      <c r="B477" t="s">
        <v>547</v>
      </c>
      <c r="C477">
        <v>92</v>
      </c>
      <c r="D477">
        <v>157</v>
      </c>
      <c r="E477">
        <v>74</v>
      </c>
      <c r="F477">
        <v>39</v>
      </c>
      <c r="G477">
        <v>33</v>
      </c>
      <c r="H477">
        <v>0</v>
      </c>
      <c r="I477">
        <v>0</v>
      </c>
      <c r="J477">
        <v>182</v>
      </c>
      <c r="K477">
        <v>11142</v>
      </c>
      <c r="L477">
        <v>19479</v>
      </c>
      <c r="M477">
        <v>31198</v>
      </c>
      <c r="P477" s="4"/>
    </row>
    <row r="478" spans="1:16" x14ac:dyDescent="0.3">
      <c r="A478" t="s">
        <v>131</v>
      </c>
      <c r="B478" t="s">
        <v>547</v>
      </c>
      <c r="C478">
        <v>0</v>
      </c>
      <c r="D478">
        <v>0</v>
      </c>
      <c r="E478">
        <v>229</v>
      </c>
      <c r="F478">
        <v>62</v>
      </c>
      <c r="G478">
        <v>0</v>
      </c>
      <c r="H478">
        <v>0</v>
      </c>
      <c r="I478">
        <v>0</v>
      </c>
      <c r="J478">
        <v>0</v>
      </c>
      <c r="K478">
        <v>0</v>
      </c>
      <c r="L478">
        <v>0</v>
      </c>
      <c r="M478">
        <v>291</v>
      </c>
      <c r="P478" s="3"/>
    </row>
    <row r="479" spans="1:16" x14ac:dyDescent="0.3">
      <c r="A479" t="s">
        <v>136</v>
      </c>
      <c r="B479" t="s">
        <v>548</v>
      </c>
      <c r="C479">
        <v>0</v>
      </c>
      <c r="D479">
        <v>1</v>
      </c>
      <c r="E479">
        <v>0</v>
      </c>
      <c r="F479">
        <v>0</v>
      </c>
      <c r="G479">
        <v>0</v>
      </c>
      <c r="H479">
        <v>0</v>
      </c>
      <c r="I479">
        <v>0</v>
      </c>
      <c r="J479">
        <v>0</v>
      </c>
      <c r="K479">
        <v>0</v>
      </c>
      <c r="L479">
        <v>0</v>
      </c>
      <c r="M479">
        <v>1</v>
      </c>
      <c r="P479" s="4"/>
    </row>
    <row r="480" spans="1:16" x14ac:dyDescent="0.3">
      <c r="A480" t="s">
        <v>131</v>
      </c>
      <c r="B480" t="s">
        <v>549</v>
      </c>
      <c r="C480">
        <v>0</v>
      </c>
      <c r="D480">
        <v>0</v>
      </c>
      <c r="E480">
        <v>19</v>
      </c>
      <c r="F480">
        <v>46</v>
      </c>
      <c r="G480">
        <v>85</v>
      </c>
      <c r="H480">
        <v>50</v>
      </c>
      <c r="I480">
        <v>151</v>
      </c>
      <c r="J480">
        <v>449</v>
      </c>
      <c r="K480">
        <v>624</v>
      </c>
      <c r="L480">
        <v>321</v>
      </c>
      <c r="M480">
        <v>1745</v>
      </c>
      <c r="P480" s="3"/>
    </row>
    <row r="481" spans="1:16" x14ac:dyDescent="0.3">
      <c r="A481" t="s">
        <v>131</v>
      </c>
      <c r="B481" t="s">
        <v>550</v>
      </c>
      <c r="C481">
        <v>0</v>
      </c>
      <c r="D481">
        <v>0</v>
      </c>
      <c r="E481">
        <v>0</v>
      </c>
      <c r="F481">
        <v>1</v>
      </c>
      <c r="G481">
        <v>0</v>
      </c>
      <c r="H481">
        <v>0</v>
      </c>
      <c r="I481">
        <v>0</v>
      </c>
      <c r="J481">
        <v>0</v>
      </c>
      <c r="K481">
        <v>0</v>
      </c>
      <c r="L481">
        <v>0</v>
      </c>
      <c r="M481">
        <v>1</v>
      </c>
      <c r="P481" s="4"/>
    </row>
    <row r="482" spans="1:16" x14ac:dyDescent="0.3">
      <c r="A482" t="s">
        <v>131</v>
      </c>
      <c r="B482" t="s">
        <v>551</v>
      </c>
      <c r="C482">
        <v>0</v>
      </c>
      <c r="D482">
        <v>0</v>
      </c>
      <c r="E482">
        <v>0</v>
      </c>
      <c r="F482">
        <v>48</v>
      </c>
      <c r="G482">
        <v>192</v>
      </c>
      <c r="H482">
        <v>177</v>
      </c>
      <c r="I482">
        <v>528</v>
      </c>
      <c r="J482">
        <v>1162</v>
      </c>
      <c r="K482">
        <v>1367</v>
      </c>
      <c r="L482">
        <v>580</v>
      </c>
      <c r="M482">
        <v>4054</v>
      </c>
      <c r="P482" s="3"/>
    </row>
    <row r="483" spans="1:16" x14ac:dyDescent="0.3">
      <c r="A483" t="s">
        <v>136</v>
      </c>
      <c r="B483" t="s">
        <v>551</v>
      </c>
      <c r="C483">
        <v>0</v>
      </c>
      <c r="D483">
        <v>0</v>
      </c>
      <c r="E483">
        <v>0</v>
      </c>
      <c r="F483">
        <v>0</v>
      </c>
      <c r="G483">
        <v>1</v>
      </c>
      <c r="H483">
        <v>0</v>
      </c>
      <c r="I483">
        <v>0</v>
      </c>
      <c r="J483">
        <v>0</v>
      </c>
      <c r="K483">
        <v>0</v>
      </c>
      <c r="L483">
        <v>0</v>
      </c>
      <c r="M483">
        <v>1</v>
      </c>
      <c r="P483" s="4"/>
    </row>
    <row r="484" spans="1:16" x14ac:dyDescent="0.3">
      <c r="A484" t="s">
        <v>133</v>
      </c>
      <c r="B484" t="s">
        <v>552</v>
      </c>
      <c r="C484">
        <v>0</v>
      </c>
      <c r="D484">
        <v>1</v>
      </c>
      <c r="E484">
        <v>0</v>
      </c>
      <c r="F484">
        <v>0</v>
      </c>
      <c r="G484">
        <v>0</v>
      </c>
      <c r="H484">
        <v>0</v>
      </c>
      <c r="I484">
        <v>0</v>
      </c>
      <c r="J484">
        <v>0</v>
      </c>
      <c r="K484">
        <v>0</v>
      </c>
      <c r="L484">
        <v>0</v>
      </c>
      <c r="M484">
        <v>1</v>
      </c>
      <c r="P484" s="3"/>
    </row>
    <row r="485" spans="1:16" x14ac:dyDescent="0.3">
      <c r="A485" t="s">
        <v>136</v>
      </c>
      <c r="B485" t="s">
        <v>552</v>
      </c>
      <c r="C485">
        <v>0</v>
      </c>
      <c r="D485">
        <v>0</v>
      </c>
      <c r="E485">
        <v>0</v>
      </c>
      <c r="F485">
        <v>1</v>
      </c>
      <c r="G485">
        <v>0</v>
      </c>
      <c r="H485">
        <v>0</v>
      </c>
      <c r="I485">
        <v>0</v>
      </c>
      <c r="J485">
        <v>0</v>
      </c>
      <c r="K485">
        <v>0</v>
      </c>
      <c r="L485">
        <v>0</v>
      </c>
      <c r="M485">
        <v>1</v>
      </c>
      <c r="P485" s="4"/>
    </row>
    <row r="486" spans="1:16" x14ac:dyDescent="0.3">
      <c r="A486" t="s">
        <v>131</v>
      </c>
      <c r="B486" t="s">
        <v>553</v>
      </c>
      <c r="C486">
        <v>0</v>
      </c>
      <c r="D486">
        <v>0</v>
      </c>
      <c r="E486">
        <v>0</v>
      </c>
      <c r="F486">
        <v>6</v>
      </c>
      <c r="G486">
        <v>1</v>
      </c>
      <c r="H486">
        <v>20</v>
      </c>
      <c r="I486">
        <v>28</v>
      </c>
      <c r="J486">
        <v>2</v>
      </c>
      <c r="K486">
        <v>12</v>
      </c>
      <c r="L486">
        <v>4</v>
      </c>
      <c r="M486">
        <v>73</v>
      </c>
      <c r="P486" s="3"/>
    </row>
    <row r="487" spans="1:16" x14ac:dyDescent="0.3">
      <c r="A487" t="s">
        <v>131</v>
      </c>
      <c r="B487" t="s">
        <v>554</v>
      </c>
      <c r="C487">
        <v>0</v>
      </c>
      <c r="D487">
        <v>27</v>
      </c>
      <c r="E487">
        <v>14</v>
      </c>
      <c r="F487">
        <v>0</v>
      </c>
      <c r="G487">
        <v>0</v>
      </c>
      <c r="H487">
        <v>0</v>
      </c>
      <c r="I487">
        <v>0</v>
      </c>
      <c r="J487">
        <v>2</v>
      </c>
      <c r="K487">
        <v>0</v>
      </c>
      <c r="L487">
        <v>0</v>
      </c>
      <c r="M487">
        <v>43</v>
      </c>
      <c r="P487" s="4"/>
    </row>
    <row r="488" spans="1:16" x14ac:dyDescent="0.3">
      <c r="A488" t="s">
        <v>131</v>
      </c>
      <c r="B488" t="s">
        <v>555</v>
      </c>
      <c r="C488">
        <v>0</v>
      </c>
      <c r="D488">
        <v>37</v>
      </c>
      <c r="E488">
        <v>62</v>
      </c>
      <c r="F488">
        <v>3</v>
      </c>
      <c r="G488">
        <v>0</v>
      </c>
      <c r="H488">
        <v>0</v>
      </c>
      <c r="I488">
        <v>0</v>
      </c>
      <c r="J488">
        <v>0</v>
      </c>
      <c r="K488">
        <v>0</v>
      </c>
      <c r="L488">
        <v>0</v>
      </c>
      <c r="M488">
        <v>102</v>
      </c>
      <c r="P488" s="3"/>
    </row>
    <row r="489" spans="1:16" x14ac:dyDescent="0.3">
      <c r="A489" t="s">
        <v>131</v>
      </c>
      <c r="B489" t="s">
        <v>556</v>
      </c>
      <c r="C489">
        <v>0</v>
      </c>
      <c r="D489">
        <v>0</v>
      </c>
      <c r="E489">
        <v>253</v>
      </c>
      <c r="F489">
        <v>257</v>
      </c>
      <c r="G489">
        <v>131</v>
      </c>
      <c r="H489">
        <v>37</v>
      </c>
      <c r="I489">
        <v>441</v>
      </c>
      <c r="J489">
        <v>297</v>
      </c>
      <c r="K489">
        <v>122</v>
      </c>
      <c r="L489">
        <v>21</v>
      </c>
      <c r="M489">
        <v>1559</v>
      </c>
      <c r="P489" s="4"/>
    </row>
    <row r="490" spans="1:16" x14ac:dyDescent="0.3">
      <c r="A490" t="s">
        <v>131</v>
      </c>
      <c r="B490" t="s">
        <v>557</v>
      </c>
      <c r="C490">
        <v>0</v>
      </c>
      <c r="D490">
        <v>0</v>
      </c>
      <c r="E490">
        <v>87</v>
      </c>
      <c r="F490">
        <v>155</v>
      </c>
      <c r="G490">
        <v>108</v>
      </c>
      <c r="H490">
        <v>7</v>
      </c>
      <c r="I490">
        <v>2</v>
      </c>
      <c r="J490">
        <v>5</v>
      </c>
      <c r="K490">
        <v>0</v>
      </c>
      <c r="L490">
        <v>0</v>
      </c>
      <c r="M490">
        <v>364</v>
      </c>
      <c r="P490" s="3"/>
    </row>
    <row r="491" spans="1:16" x14ac:dyDescent="0.3">
      <c r="A491" t="s">
        <v>131</v>
      </c>
      <c r="B491" t="s">
        <v>558</v>
      </c>
      <c r="C491">
        <v>0</v>
      </c>
      <c r="D491">
        <v>0</v>
      </c>
      <c r="E491">
        <v>2</v>
      </c>
      <c r="F491">
        <v>0</v>
      </c>
      <c r="G491">
        <v>0</v>
      </c>
      <c r="H491">
        <v>0</v>
      </c>
      <c r="I491">
        <v>0</v>
      </c>
      <c r="J491">
        <v>0</v>
      </c>
      <c r="K491">
        <v>0</v>
      </c>
      <c r="L491">
        <v>0</v>
      </c>
      <c r="M491">
        <v>2</v>
      </c>
      <c r="P491" s="4"/>
    </row>
    <row r="492" spans="1:16" x14ac:dyDescent="0.3">
      <c r="A492" t="s">
        <v>131</v>
      </c>
      <c r="B492" t="s">
        <v>559</v>
      </c>
      <c r="C492">
        <v>0</v>
      </c>
      <c r="D492">
        <v>0</v>
      </c>
      <c r="E492">
        <v>1</v>
      </c>
      <c r="F492">
        <v>0</v>
      </c>
      <c r="G492">
        <v>0</v>
      </c>
      <c r="H492">
        <v>0</v>
      </c>
      <c r="I492">
        <v>0</v>
      </c>
      <c r="J492">
        <v>0</v>
      </c>
      <c r="K492">
        <v>0</v>
      </c>
      <c r="L492">
        <v>0</v>
      </c>
      <c r="M492">
        <v>1</v>
      </c>
      <c r="P492" s="3"/>
    </row>
    <row r="493" spans="1:16" x14ac:dyDescent="0.3">
      <c r="A493" t="s">
        <v>133</v>
      </c>
      <c r="B493" t="s">
        <v>560</v>
      </c>
      <c r="C493">
        <v>0</v>
      </c>
      <c r="D493">
        <v>0</v>
      </c>
      <c r="E493">
        <v>0</v>
      </c>
      <c r="F493">
        <v>0</v>
      </c>
      <c r="G493">
        <v>0</v>
      </c>
      <c r="H493">
        <v>0</v>
      </c>
      <c r="I493">
        <v>0</v>
      </c>
      <c r="J493">
        <v>0</v>
      </c>
      <c r="K493">
        <v>6</v>
      </c>
      <c r="L493">
        <v>4</v>
      </c>
      <c r="M493">
        <v>10</v>
      </c>
      <c r="P493" s="4"/>
    </row>
    <row r="494" spans="1:16" x14ac:dyDescent="0.3">
      <c r="A494" t="s">
        <v>133</v>
      </c>
      <c r="B494" t="s">
        <v>561</v>
      </c>
      <c r="C494">
        <v>134</v>
      </c>
      <c r="D494">
        <v>81</v>
      </c>
      <c r="E494">
        <v>120</v>
      </c>
      <c r="F494">
        <v>4</v>
      </c>
      <c r="G494">
        <v>0</v>
      </c>
      <c r="H494">
        <v>0</v>
      </c>
      <c r="I494">
        <v>0</v>
      </c>
      <c r="J494">
        <v>0</v>
      </c>
      <c r="K494">
        <v>0</v>
      </c>
      <c r="L494">
        <v>0</v>
      </c>
      <c r="M494">
        <v>339</v>
      </c>
      <c r="P494" s="3"/>
    </row>
    <row r="495" spans="1:16" x14ac:dyDescent="0.3">
      <c r="A495" t="s">
        <v>136</v>
      </c>
      <c r="B495" t="s">
        <v>561</v>
      </c>
      <c r="C495">
        <v>2</v>
      </c>
      <c r="D495">
        <v>1</v>
      </c>
      <c r="E495">
        <v>0</v>
      </c>
      <c r="F495">
        <v>1</v>
      </c>
      <c r="G495">
        <v>0</v>
      </c>
      <c r="H495">
        <v>0</v>
      </c>
      <c r="I495">
        <v>0</v>
      </c>
      <c r="J495">
        <v>0</v>
      </c>
      <c r="K495">
        <v>0</v>
      </c>
      <c r="L495">
        <v>0</v>
      </c>
      <c r="M495">
        <v>4</v>
      </c>
      <c r="P495" s="4"/>
    </row>
    <row r="496" spans="1:16" x14ac:dyDescent="0.3">
      <c r="A496" t="s">
        <v>133</v>
      </c>
      <c r="B496" t="s">
        <v>562</v>
      </c>
      <c r="C496">
        <v>119</v>
      </c>
      <c r="D496">
        <v>195</v>
      </c>
      <c r="E496">
        <v>36</v>
      </c>
      <c r="F496">
        <v>19</v>
      </c>
      <c r="G496">
        <v>4</v>
      </c>
      <c r="H496">
        <v>0</v>
      </c>
      <c r="I496">
        <v>0</v>
      </c>
      <c r="J496">
        <v>30</v>
      </c>
      <c r="K496">
        <v>0</v>
      </c>
      <c r="L496">
        <v>0</v>
      </c>
      <c r="M496">
        <v>403</v>
      </c>
      <c r="P496" s="3"/>
    </row>
    <row r="497" spans="1:16" x14ac:dyDescent="0.3">
      <c r="A497" t="s">
        <v>136</v>
      </c>
      <c r="B497" t="s">
        <v>562</v>
      </c>
      <c r="C497">
        <v>0</v>
      </c>
      <c r="D497">
        <v>2</v>
      </c>
      <c r="E497">
        <v>0</v>
      </c>
      <c r="F497">
        <v>0</v>
      </c>
      <c r="G497">
        <v>0</v>
      </c>
      <c r="H497">
        <v>0</v>
      </c>
      <c r="I497">
        <v>0</v>
      </c>
      <c r="J497">
        <v>0</v>
      </c>
      <c r="K497">
        <v>0</v>
      </c>
      <c r="L497">
        <v>0</v>
      </c>
      <c r="M497">
        <v>2</v>
      </c>
      <c r="P497" s="4"/>
    </row>
    <row r="498" spans="1:16" x14ac:dyDescent="0.3">
      <c r="A498" t="s">
        <v>133</v>
      </c>
      <c r="B498" t="s">
        <v>563</v>
      </c>
      <c r="C498">
        <v>0</v>
      </c>
      <c r="D498">
        <v>0</v>
      </c>
      <c r="E498">
        <v>0</v>
      </c>
      <c r="F498">
        <v>0</v>
      </c>
      <c r="G498">
        <v>0</v>
      </c>
      <c r="H498">
        <v>0</v>
      </c>
      <c r="I498">
        <v>0</v>
      </c>
      <c r="J498">
        <v>14</v>
      </c>
      <c r="K498">
        <v>84</v>
      </c>
      <c r="L498">
        <v>163</v>
      </c>
      <c r="M498">
        <v>261</v>
      </c>
      <c r="P498" s="3"/>
    </row>
    <row r="499" spans="1:16" x14ac:dyDescent="0.3">
      <c r="A499" t="s">
        <v>133</v>
      </c>
      <c r="B499" t="s">
        <v>564</v>
      </c>
      <c r="C499">
        <v>0</v>
      </c>
      <c r="D499">
        <v>0</v>
      </c>
      <c r="E499">
        <v>0</v>
      </c>
      <c r="F499">
        <v>0</v>
      </c>
      <c r="G499">
        <v>0</v>
      </c>
      <c r="H499">
        <v>0</v>
      </c>
      <c r="I499">
        <v>0</v>
      </c>
      <c r="J499">
        <v>0</v>
      </c>
      <c r="K499">
        <v>18</v>
      </c>
      <c r="L499">
        <v>3</v>
      </c>
      <c r="M499">
        <v>21</v>
      </c>
      <c r="P499" s="4"/>
    </row>
    <row r="500" spans="1:16" x14ac:dyDescent="0.3">
      <c r="A500" t="s">
        <v>133</v>
      </c>
      <c r="B500" t="s">
        <v>565</v>
      </c>
      <c r="C500">
        <v>0</v>
      </c>
      <c r="D500">
        <v>0</v>
      </c>
      <c r="E500">
        <v>1</v>
      </c>
      <c r="F500">
        <v>0</v>
      </c>
      <c r="G500">
        <v>0</v>
      </c>
      <c r="H500">
        <v>0</v>
      </c>
      <c r="I500">
        <v>0</v>
      </c>
      <c r="J500">
        <v>0</v>
      </c>
      <c r="K500">
        <v>0</v>
      </c>
      <c r="L500">
        <v>0</v>
      </c>
      <c r="M500">
        <v>1</v>
      </c>
      <c r="P500" s="3"/>
    </row>
    <row r="501" spans="1:16" x14ac:dyDescent="0.3">
      <c r="A501" t="s">
        <v>131</v>
      </c>
      <c r="B501" t="s">
        <v>565</v>
      </c>
      <c r="C501">
        <v>0</v>
      </c>
      <c r="D501">
        <v>0</v>
      </c>
      <c r="E501">
        <v>918</v>
      </c>
      <c r="F501">
        <v>1216</v>
      </c>
      <c r="G501">
        <v>1855</v>
      </c>
      <c r="H501">
        <v>689</v>
      </c>
      <c r="I501">
        <v>1091</v>
      </c>
      <c r="J501">
        <v>2599</v>
      </c>
      <c r="K501">
        <v>3741</v>
      </c>
      <c r="L501">
        <v>2783</v>
      </c>
      <c r="M501">
        <v>14892</v>
      </c>
      <c r="P501" s="4"/>
    </row>
    <row r="502" spans="1:16" x14ac:dyDescent="0.3">
      <c r="A502" t="s">
        <v>133</v>
      </c>
      <c r="B502" t="s">
        <v>566</v>
      </c>
      <c r="C502">
        <v>0</v>
      </c>
      <c r="D502">
        <v>0</v>
      </c>
      <c r="E502">
        <v>0</v>
      </c>
      <c r="F502">
        <v>0</v>
      </c>
      <c r="G502">
        <v>0</v>
      </c>
      <c r="H502">
        <v>0</v>
      </c>
      <c r="I502">
        <v>0</v>
      </c>
      <c r="J502">
        <v>2</v>
      </c>
      <c r="K502">
        <v>209</v>
      </c>
      <c r="L502">
        <v>163</v>
      </c>
      <c r="M502">
        <v>374</v>
      </c>
      <c r="P502" s="3"/>
    </row>
    <row r="503" spans="1:16" x14ac:dyDescent="0.3">
      <c r="A503" t="s">
        <v>131</v>
      </c>
      <c r="B503" t="s">
        <v>567</v>
      </c>
      <c r="C503">
        <v>0</v>
      </c>
      <c r="D503">
        <v>0</v>
      </c>
      <c r="E503">
        <v>0</v>
      </c>
      <c r="F503">
        <v>0</v>
      </c>
      <c r="G503">
        <v>20</v>
      </c>
      <c r="H503">
        <v>15</v>
      </c>
      <c r="I503">
        <v>69</v>
      </c>
      <c r="J503">
        <v>217</v>
      </c>
      <c r="K503">
        <v>785</v>
      </c>
      <c r="L503">
        <v>340</v>
      </c>
      <c r="M503">
        <v>1446</v>
      </c>
      <c r="P503" s="4"/>
    </row>
    <row r="504" spans="1:16" x14ac:dyDescent="0.3">
      <c r="A504" t="s">
        <v>131</v>
      </c>
      <c r="B504" t="s">
        <v>568</v>
      </c>
      <c r="C504">
        <v>0</v>
      </c>
      <c r="D504">
        <v>5</v>
      </c>
      <c r="E504">
        <v>688</v>
      </c>
      <c r="F504">
        <v>1168</v>
      </c>
      <c r="G504">
        <v>856</v>
      </c>
      <c r="H504">
        <v>470</v>
      </c>
      <c r="I504">
        <v>1046</v>
      </c>
      <c r="J504">
        <v>4397</v>
      </c>
      <c r="K504">
        <v>12840</v>
      </c>
      <c r="L504">
        <v>7423</v>
      </c>
      <c r="M504">
        <v>28893</v>
      </c>
      <c r="P504" s="3"/>
    </row>
    <row r="505" spans="1:16" x14ac:dyDescent="0.3">
      <c r="A505" t="s">
        <v>133</v>
      </c>
      <c r="B505" t="s">
        <v>569</v>
      </c>
      <c r="C505">
        <v>0</v>
      </c>
      <c r="D505">
        <v>0</v>
      </c>
      <c r="E505">
        <v>0</v>
      </c>
      <c r="F505">
        <v>0</v>
      </c>
      <c r="G505">
        <v>0</v>
      </c>
      <c r="H505">
        <v>0</v>
      </c>
      <c r="I505">
        <v>0</v>
      </c>
      <c r="J505">
        <v>33</v>
      </c>
      <c r="K505">
        <v>32</v>
      </c>
      <c r="L505">
        <v>5</v>
      </c>
      <c r="M505">
        <v>70</v>
      </c>
      <c r="P505" s="4"/>
    </row>
    <row r="506" spans="1:16" x14ac:dyDescent="0.3">
      <c r="A506" t="s">
        <v>136</v>
      </c>
      <c r="B506" t="s">
        <v>569</v>
      </c>
      <c r="C506">
        <v>0</v>
      </c>
      <c r="D506">
        <v>0</v>
      </c>
      <c r="E506">
        <v>0</v>
      </c>
      <c r="F506">
        <v>0</v>
      </c>
      <c r="G506">
        <v>0</v>
      </c>
      <c r="H506">
        <v>0</v>
      </c>
      <c r="I506">
        <v>0</v>
      </c>
      <c r="J506">
        <v>2</v>
      </c>
      <c r="K506">
        <v>0</v>
      </c>
      <c r="L506">
        <v>0</v>
      </c>
      <c r="M506">
        <v>2</v>
      </c>
      <c r="P506" s="3"/>
    </row>
    <row r="507" spans="1:16" x14ac:dyDescent="0.3">
      <c r="A507" t="s">
        <v>131</v>
      </c>
      <c r="B507" t="s">
        <v>570</v>
      </c>
      <c r="C507">
        <v>0</v>
      </c>
      <c r="D507">
        <v>152</v>
      </c>
      <c r="E507">
        <v>456</v>
      </c>
      <c r="F507">
        <v>676</v>
      </c>
      <c r="G507">
        <v>238</v>
      </c>
      <c r="H507">
        <v>30</v>
      </c>
      <c r="I507">
        <v>13</v>
      </c>
      <c r="J507">
        <v>21</v>
      </c>
      <c r="K507">
        <v>62</v>
      </c>
      <c r="L507">
        <v>48</v>
      </c>
      <c r="M507">
        <v>1696</v>
      </c>
      <c r="P507" s="4"/>
    </row>
    <row r="508" spans="1:16" x14ac:dyDescent="0.3">
      <c r="A508" t="s">
        <v>133</v>
      </c>
      <c r="B508" t="s">
        <v>571</v>
      </c>
      <c r="C508">
        <v>0</v>
      </c>
      <c r="D508">
        <v>0</v>
      </c>
      <c r="E508">
        <v>0</v>
      </c>
      <c r="F508">
        <v>0</v>
      </c>
      <c r="G508">
        <v>0</v>
      </c>
      <c r="H508">
        <v>0</v>
      </c>
      <c r="I508">
        <v>0</v>
      </c>
      <c r="J508">
        <v>0</v>
      </c>
      <c r="K508">
        <v>2</v>
      </c>
      <c r="L508">
        <v>1</v>
      </c>
      <c r="M508">
        <v>3</v>
      </c>
      <c r="P508" s="3"/>
    </row>
    <row r="509" spans="1:16" x14ac:dyDescent="0.3">
      <c r="A509" t="s">
        <v>131</v>
      </c>
      <c r="B509" t="s">
        <v>572</v>
      </c>
      <c r="C509">
        <v>0</v>
      </c>
      <c r="D509">
        <v>0</v>
      </c>
      <c r="E509">
        <v>0</v>
      </c>
      <c r="F509">
        <v>0</v>
      </c>
      <c r="G509">
        <v>0</v>
      </c>
      <c r="H509">
        <v>0</v>
      </c>
      <c r="I509">
        <v>0</v>
      </c>
      <c r="J509">
        <v>0</v>
      </c>
      <c r="K509">
        <v>125</v>
      </c>
      <c r="L509">
        <v>255</v>
      </c>
      <c r="M509">
        <v>380</v>
      </c>
      <c r="P509" s="4"/>
    </row>
    <row r="510" spans="1:16" x14ac:dyDescent="0.3">
      <c r="A510" t="s">
        <v>131</v>
      </c>
      <c r="B510" t="s">
        <v>573</v>
      </c>
      <c r="C510">
        <v>0</v>
      </c>
      <c r="D510">
        <v>0</v>
      </c>
      <c r="E510">
        <v>0</v>
      </c>
      <c r="F510">
        <v>256</v>
      </c>
      <c r="G510">
        <v>616</v>
      </c>
      <c r="H510">
        <v>292</v>
      </c>
      <c r="I510">
        <v>399</v>
      </c>
      <c r="J510">
        <v>848</v>
      </c>
      <c r="K510">
        <v>1011</v>
      </c>
      <c r="L510">
        <v>562</v>
      </c>
      <c r="M510">
        <v>3984</v>
      </c>
      <c r="P510" s="3"/>
    </row>
    <row r="511" spans="1:16" x14ac:dyDescent="0.3">
      <c r="A511" t="s">
        <v>131</v>
      </c>
      <c r="B511" t="s">
        <v>574</v>
      </c>
      <c r="C511">
        <v>0</v>
      </c>
      <c r="D511">
        <v>0</v>
      </c>
      <c r="E511">
        <v>0</v>
      </c>
      <c r="F511">
        <v>0</v>
      </c>
      <c r="G511">
        <v>0</v>
      </c>
      <c r="H511">
        <v>0</v>
      </c>
      <c r="I511">
        <v>159</v>
      </c>
      <c r="J511">
        <v>306</v>
      </c>
      <c r="K511">
        <v>91</v>
      </c>
      <c r="L511">
        <v>17</v>
      </c>
      <c r="M511">
        <v>573</v>
      </c>
      <c r="P511" s="4"/>
    </row>
    <row r="512" spans="1:16" x14ac:dyDescent="0.3">
      <c r="A512" t="s">
        <v>131</v>
      </c>
      <c r="B512" t="s">
        <v>575</v>
      </c>
      <c r="C512">
        <v>0</v>
      </c>
      <c r="D512">
        <v>1</v>
      </c>
      <c r="E512">
        <v>0</v>
      </c>
      <c r="F512">
        <v>0</v>
      </c>
      <c r="G512">
        <v>0</v>
      </c>
      <c r="H512">
        <v>0</v>
      </c>
      <c r="I512">
        <v>0</v>
      </c>
      <c r="J512">
        <v>0</v>
      </c>
      <c r="K512">
        <v>0</v>
      </c>
      <c r="L512">
        <v>0</v>
      </c>
      <c r="M512">
        <v>1</v>
      </c>
      <c r="P512" s="3"/>
    </row>
    <row r="513" spans="1:16" x14ac:dyDescent="0.3">
      <c r="A513" t="s">
        <v>136</v>
      </c>
      <c r="B513" t="s">
        <v>575</v>
      </c>
      <c r="C513">
        <v>0</v>
      </c>
      <c r="D513">
        <v>5</v>
      </c>
      <c r="E513">
        <v>2</v>
      </c>
      <c r="F513">
        <v>1</v>
      </c>
      <c r="G513">
        <v>233</v>
      </c>
      <c r="H513">
        <v>206</v>
      </c>
      <c r="I513">
        <v>165</v>
      </c>
      <c r="J513">
        <v>619</v>
      </c>
      <c r="K513">
        <v>1606</v>
      </c>
      <c r="L513">
        <v>757</v>
      </c>
      <c r="M513">
        <v>3594</v>
      </c>
      <c r="P513" s="4"/>
    </row>
    <row r="514" spans="1:16" x14ac:dyDescent="0.3">
      <c r="A514" t="s">
        <v>136</v>
      </c>
      <c r="B514" t="s">
        <v>576</v>
      </c>
      <c r="C514">
        <v>0</v>
      </c>
      <c r="D514">
        <v>0</v>
      </c>
      <c r="E514">
        <v>0</v>
      </c>
      <c r="F514">
        <v>0</v>
      </c>
      <c r="G514">
        <v>0</v>
      </c>
      <c r="H514">
        <v>0</v>
      </c>
      <c r="I514">
        <v>0</v>
      </c>
      <c r="J514">
        <v>5</v>
      </c>
      <c r="K514">
        <v>0</v>
      </c>
      <c r="L514">
        <v>1</v>
      </c>
      <c r="M514">
        <v>6</v>
      </c>
      <c r="P514" s="3"/>
    </row>
    <row r="515" spans="1:16" x14ac:dyDescent="0.3">
      <c r="A515" t="s">
        <v>131</v>
      </c>
      <c r="B515" t="s">
        <v>577</v>
      </c>
      <c r="C515">
        <v>0</v>
      </c>
      <c r="D515">
        <v>0</v>
      </c>
      <c r="E515">
        <v>1</v>
      </c>
      <c r="F515">
        <v>0</v>
      </c>
      <c r="G515">
        <v>0</v>
      </c>
      <c r="H515">
        <v>0</v>
      </c>
      <c r="I515">
        <v>0</v>
      </c>
      <c r="J515">
        <v>0</v>
      </c>
      <c r="K515">
        <v>0</v>
      </c>
      <c r="L515">
        <v>0</v>
      </c>
      <c r="M515">
        <v>1</v>
      </c>
      <c r="P515" s="4"/>
    </row>
    <row r="516" spans="1:16" x14ac:dyDescent="0.3">
      <c r="A516" t="s">
        <v>131</v>
      </c>
      <c r="B516" t="s">
        <v>578</v>
      </c>
      <c r="C516">
        <v>0</v>
      </c>
      <c r="D516">
        <v>0</v>
      </c>
      <c r="E516">
        <v>0</v>
      </c>
      <c r="F516">
        <v>0</v>
      </c>
      <c r="G516">
        <v>0</v>
      </c>
      <c r="H516">
        <v>0</v>
      </c>
      <c r="I516">
        <v>0</v>
      </c>
      <c r="J516">
        <v>16</v>
      </c>
      <c r="K516">
        <v>276</v>
      </c>
      <c r="L516">
        <v>241</v>
      </c>
      <c r="M516">
        <v>533</v>
      </c>
      <c r="P516" s="3"/>
    </row>
    <row r="517" spans="1:16" x14ac:dyDescent="0.3">
      <c r="A517" t="s">
        <v>133</v>
      </c>
      <c r="B517" t="s">
        <v>579</v>
      </c>
      <c r="C517">
        <v>26</v>
      </c>
      <c r="D517">
        <v>31</v>
      </c>
      <c r="E517">
        <v>14</v>
      </c>
      <c r="F517">
        <v>2</v>
      </c>
      <c r="G517">
        <v>0</v>
      </c>
      <c r="H517">
        <v>0</v>
      </c>
      <c r="I517">
        <v>0</v>
      </c>
      <c r="J517">
        <v>0</v>
      </c>
      <c r="K517">
        <v>0</v>
      </c>
      <c r="L517">
        <v>0</v>
      </c>
      <c r="M517">
        <v>73</v>
      </c>
      <c r="P517" s="4"/>
    </row>
    <row r="518" spans="1:16" x14ac:dyDescent="0.3">
      <c r="A518" t="s">
        <v>131</v>
      </c>
      <c r="B518" t="s">
        <v>579</v>
      </c>
      <c r="C518">
        <v>0</v>
      </c>
      <c r="D518">
        <v>0</v>
      </c>
      <c r="E518">
        <v>36</v>
      </c>
      <c r="F518">
        <v>7</v>
      </c>
      <c r="G518">
        <v>0</v>
      </c>
      <c r="H518">
        <v>0</v>
      </c>
      <c r="I518">
        <v>0</v>
      </c>
      <c r="J518">
        <v>0</v>
      </c>
      <c r="K518">
        <v>0</v>
      </c>
      <c r="L518">
        <v>0</v>
      </c>
      <c r="M518">
        <v>43</v>
      </c>
      <c r="P518" s="3"/>
    </row>
    <row r="519" spans="1:16" x14ac:dyDescent="0.3">
      <c r="A519" t="s">
        <v>131</v>
      </c>
      <c r="B519" t="s">
        <v>580</v>
      </c>
      <c r="C519">
        <v>0</v>
      </c>
      <c r="D519">
        <v>0</v>
      </c>
      <c r="E519">
        <v>0</v>
      </c>
      <c r="F519">
        <v>5</v>
      </c>
      <c r="G519">
        <v>52</v>
      </c>
      <c r="H519">
        <v>106</v>
      </c>
      <c r="I519">
        <v>350</v>
      </c>
      <c r="J519">
        <v>1114</v>
      </c>
      <c r="K519">
        <v>2035</v>
      </c>
      <c r="L519">
        <v>1399</v>
      </c>
      <c r="M519">
        <v>5061</v>
      </c>
      <c r="P519" s="4"/>
    </row>
    <row r="520" spans="1:16" x14ac:dyDescent="0.3">
      <c r="A520" t="s">
        <v>131</v>
      </c>
      <c r="B520" t="s">
        <v>581</v>
      </c>
      <c r="C520">
        <v>0</v>
      </c>
      <c r="D520">
        <v>0</v>
      </c>
      <c r="E520">
        <v>1</v>
      </c>
      <c r="F520">
        <v>0</v>
      </c>
      <c r="G520">
        <v>0</v>
      </c>
      <c r="H520">
        <v>0</v>
      </c>
      <c r="I520">
        <v>0</v>
      </c>
      <c r="J520">
        <v>0</v>
      </c>
      <c r="K520">
        <v>0</v>
      </c>
      <c r="L520">
        <v>0</v>
      </c>
      <c r="M520">
        <v>1</v>
      </c>
      <c r="P520" s="3"/>
    </row>
    <row r="521" spans="1:16" x14ac:dyDescent="0.3">
      <c r="A521" t="s">
        <v>133</v>
      </c>
      <c r="B521" t="s">
        <v>582</v>
      </c>
      <c r="C521">
        <v>13</v>
      </c>
      <c r="D521">
        <v>3</v>
      </c>
      <c r="E521">
        <v>2</v>
      </c>
      <c r="F521">
        <v>0</v>
      </c>
      <c r="G521">
        <v>0</v>
      </c>
      <c r="H521">
        <v>0</v>
      </c>
      <c r="I521">
        <v>0</v>
      </c>
      <c r="J521">
        <v>0</v>
      </c>
      <c r="K521">
        <v>0</v>
      </c>
      <c r="L521">
        <v>0</v>
      </c>
      <c r="M521">
        <v>18</v>
      </c>
      <c r="P521" s="4"/>
    </row>
    <row r="522" spans="1:16" x14ac:dyDescent="0.3">
      <c r="A522" t="s">
        <v>131</v>
      </c>
      <c r="B522" t="s">
        <v>583</v>
      </c>
      <c r="C522">
        <v>0</v>
      </c>
      <c r="D522">
        <v>0</v>
      </c>
      <c r="E522">
        <v>0</v>
      </c>
      <c r="F522">
        <v>0</v>
      </c>
      <c r="G522">
        <v>0</v>
      </c>
      <c r="H522">
        <v>0</v>
      </c>
      <c r="I522">
        <v>0</v>
      </c>
      <c r="J522">
        <v>0</v>
      </c>
      <c r="K522">
        <v>0</v>
      </c>
      <c r="L522">
        <v>272</v>
      </c>
      <c r="M522">
        <v>272</v>
      </c>
      <c r="P522" s="3"/>
    </row>
    <row r="523" spans="1:16" x14ac:dyDescent="0.3">
      <c r="A523" t="s">
        <v>133</v>
      </c>
      <c r="B523" t="s">
        <v>584</v>
      </c>
      <c r="C523">
        <v>0</v>
      </c>
      <c r="D523">
        <v>0</v>
      </c>
      <c r="E523">
        <v>1</v>
      </c>
      <c r="F523">
        <v>0</v>
      </c>
      <c r="G523">
        <v>0</v>
      </c>
      <c r="H523">
        <v>0</v>
      </c>
      <c r="I523">
        <v>0</v>
      </c>
      <c r="J523">
        <v>0</v>
      </c>
      <c r="K523">
        <v>0</v>
      </c>
      <c r="L523">
        <v>0</v>
      </c>
      <c r="M523">
        <v>1</v>
      </c>
      <c r="P523" s="4"/>
    </row>
    <row r="524" spans="1:16" x14ac:dyDescent="0.3">
      <c r="A524" t="s">
        <v>131</v>
      </c>
      <c r="B524" t="s">
        <v>584</v>
      </c>
      <c r="C524">
        <v>0</v>
      </c>
      <c r="D524">
        <v>0</v>
      </c>
      <c r="E524">
        <v>1</v>
      </c>
      <c r="F524">
        <v>0</v>
      </c>
      <c r="G524">
        <v>0</v>
      </c>
      <c r="H524">
        <v>0</v>
      </c>
      <c r="I524">
        <v>0</v>
      </c>
      <c r="J524">
        <v>0</v>
      </c>
      <c r="K524">
        <v>0</v>
      </c>
      <c r="L524">
        <v>0</v>
      </c>
      <c r="M524">
        <v>1</v>
      </c>
      <c r="P524" s="3"/>
    </row>
    <row r="525" spans="1:16" x14ac:dyDescent="0.3">
      <c r="A525" t="s">
        <v>136</v>
      </c>
      <c r="B525" t="s">
        <v>585</v>
      </c>
      <c r="C525">
        <v>0</v>
      </c>
      <c r="D525">
        <v>6</v>
      </c>
      <c r="E525">
        <v>6</v>
      </c>
      <c r="F525">
        <v>2</v>
      </c>
      <c r="G525">
        <v>1</v>
      </c>
      <c r="H525">
        <v>0</v>
      </c>
      <c r="I525">
        <v>0</v>
      </c>
      <c r="J525">
        <v>0</v>
      </c>
      <c r="K525">
        <v>0</v>
      </c>
      <c r="L525">
        <v>0</v>
      </c>
      <c r="M525">
        <v>15</v>
      </c>
      <c r="P525" s="4"/>
    </row>
    <row r="526" spans="1:16" x14ac:dyDescent="0.3">
      <c r="A526" t="s">
        <v>131</v>
      </c>
      <c r="B526" t="s">
        <v>586</v>
      </c>
      <c r="C526">
        <v>0</v>
      </c>
      <c r="D526">
        <v>0</v>
      </c>
      <c r="E526">
        <v>0</v>
      </c>
      <c r="F526">
        <v>0</v>
      </c>
      <c r="G526">
        <v>0</v>
      </c>
      <c r="H526">
        <v>0</v>
      </c>
      <c r="I526">
        <v>0</v>
      </c>
      <c r="J526">
        <v>9</v>
      </c>
      <c r="K526">
        <v>96</v>
      </c>
      <c r="L526">
        <v>73</v>
      </c>
      <c r="M526">
        <v>178</v>
      </c>
      <c r="P526" s="3"/>
    </row>
    <row r="527" spans="1:16" x14ac:dyDescent="0.3">
      <c r="A527" t="s">
        <v>133</v>
      </c>
      <c r="B527" t="s">
        <v>587</v>
      </c>
      <c r="C527">
        <v>0</v>
      </c>
      <c r="D527">
        <v>0</v>
      </c>
      <c r="E527">
        <v>0</v>
      </c>
      <c r="F527">
        <v>0</v>
      </c>
      <c r="G527">
        <v>0</v>
      </c>
      <c r="H527">
        <v>38</v>
      </c>
      <c r="I527">
        <v>78</v>
      </c>
      <c r="J527">
        <v>98</v>
      </c>
      <c r="K527">
        <v>19</v>
      </c>
      <c r="L527">
        <v>6</v>
      </c>
      <c r="M527">
        <v>239</v>
      </c>
      <c r="P527" s="4"/>
    </row>
    <row r="528" spans="1:16" x14ac:dyDescent="0.3">
      <c r="A528" t="s">
        <v>131</v>
      </c>
      <c r="B528" t="s">
        <v>588</v>
      </c>
      <c r="C528">
        <v>0</v>
      </c>
      <c r="D528">
        <v>0</v>
      </c>
      <c r="E528">
        <v>0</v>
      </c>
      <c r="F528">
        <v>0</v>
      </c>
      <c r="G528">
        <v>0</v>
      </c>
      <c r="H528">
        <v>0</v>
      </c>
      <c r="I528">
        <v>0</v>
      </c>
      <c r="J528">
        <v>0</v>
      </c>
      <c r="K528">
        <v>65</v>
      </c>
      <c r="L528">
        <v>14</v>
      </c>
      <c r="M528">
        <v>79</v>
      </c>
      <c r="P528" s="3"/>
    </row>
    <row r="529" spans="1:16" x14ac:dyDescent="0.3">
      <c r="A529" t="s">
        <v>133</v>
      </c>
      <c r="B529" t="s">
        <v>589</v>
      </c>
      <c r="C529">
        <v>1</v>
      </c>
      <c r="D529">
        <v>0</v>
      </c>
      <c r="E529">
        <v>0</v>
      </c>
      <c r="F529">
        <v>0</v>
      </c>
      <c r="G529">
        <v>0</v>
      </c>
      <c r="H529">
        <v>0</v>
      </c>
      <c r="I529">
        <v>0</v>
      </c>
      <c r="J529">
        <v>0</v>
      </c>
      <c r="K529">
        <v>0</v>
      </c>
      <c r="L529">
        <v>0</v>
      </c>
      <c r="M529">
        <v>1</v>
      </c>
      <c r="P529" s="4"/>
    </row>
    <row r="530" spans="1:16" x14ac:dyDescent="0.3">
      <c r="A530" t="s">
        <v>133</v>
      </c>
      <c r="B530" t="s">
        <v>590</v>
      </c>
      <c r="C530">
        <v>0</v>
      </c>
      <c r="D530">
        <v>0</v>
      </c>
      <c r="E530">
        <v>0</v>
      </c>
      <c r="F530">
        <v>0</v>
      </c>
      <c r="G530">
        <v>0</v>
      </c>
      <c r="H530">
        <v>0</v>
      </c>
      <c r="I530">
        <v>0</v>
      </c>
      <c r="J530">
        <v>627</v>
      </c>
      <c r="K530">
        <v>2154</v>
      </c>
      <c r="L530">
        <v>668</v>
      </c>
      <c r="M530">
        <v>3449</v>
      </c>
      <c r="P530" s="3"/>
    </row>
    <row r="531" spans="1:16" x14ac:dyDescent="0.3">
      <c r="A531" t="s">
        <v>133</v>
      </c>
      <c r="B531" t="s">
        <v>591</v>
      </c>
      <c r="C531">
        <v>0</v>
      </c>
      <c r="D531">
        <v>0</v>
      </c>
      <c r="E531">
        <v>0</v>
      </c>
      <c r="F531">
        <v>0</v>
      </c>
      <c r="G531">
        <v>0</v>
      </c>
      <c r="H531">
        <v>0</v>
      </c>
      <c r="I531">
        <v>0</v>
      </c>
      <c r="J531">
        <v>32</v>
      </c>
      <c r="K531">
        <v>51</v>
      </c>
      <c r="L531">
        <v>13</v>
      </c>
      <c r="M531">
        <v>96</v>
      </c>
      <c r="P531" s="4"/>
    </row>
    <row r="532" spans="1:16" x14ac:dyDescent="0.3">
      <c r="A532" t="s">
        <v>131</v>
      </c>
      <c r="B532" t="s">
        <v>592</v>
      </c>
      <c r="C532">
        <v>0</v>
      </c>
      <c r="D532">
        <v>0</v>
      </c>
      <c r="E532">
        <v>0</v>
      </c>
      <c r="F532">
        <v>17</v>
      </c>
      <c r="G532">
        <v>6</v>
      </c>
      <c r="H532">
        <v>8</v>
      </c>
      <c r="I532">
        <v>50</v>
      </c>
      <c r="J532">
        <v>82</v>
      </c>
      <c r="K532">
        <v>80</v>
      </c>
      <c r="L532">
        <v>30</v>
      </c>
      <c r="M532">
        <v>273</v>
      </c>
      <c r="P532" s="3"/>
    </row>
    <row r="533" spans="1:16" x14ac:dyDescent="0.3">
      <c r="A533" t="s">
        <v>131</v>
      </c>
      <c r="B533" t="s">
        <v>593</v>
      </c>
      <c r="C533">
        <v>0</v>
      </c>
      <c r="D533">
        <v>0</v>
      </c>
      <c r="E533">
        <v>0</v>
      </c>
      <c r="F533">
        <v>1</v>
      </c>
      <c r="G533">
        <v>1</v>
      </c>
      <c r="H533">
        <v>0</v>
      </c>
      <c r="I533">
        <v>0</v>
      </c>
      <c r="J533">
        <v>0</v>
      </c>
      <c r="K533">
        <v>0</v>
      </c>
      <c r="L533">
        <v>0</v>
      </c>
      <c r="M533">
        <v>2</v>
      </c>
      <c r="P533" s="4"/>
    </row>
    <row r="534" spans="1:16" x14ac:dyDescent="0.3">
      <c r="A534" t="s">
        <v>131</v>
      </c>
      <c r="B534" t="s">
        <v>594</v>
      </c>
      <c r="C534">
        <v>0</v>
      </c>
      <c r="D534">
        <v>248</v>
      </c>
      <c r="E534">
        <v>43</v>
      </c>
      <c r="F534">
        <v>0</v>
      </c>
      <c r="G534">
        <v>10</v>
      </c>
      <c r="H534">
        <v>0</v>
      </c>
      <c r="I534">
        <v>0</v>
      </c>
      <c r="J534">
        <v>6</v>
      </c>
      <c r="K534">
        <v>7</v>
      </c>
      <c r="L534">
        <v>0</v>
      </c>
      <c r="M534">
        <v>314</v>
      </c>
      <c r="P534" s="3"/>
    </row>
    <row r="535" spans="1:16" x14ac:dyDescent="0.3">
      <c r="A535" t="s">
        <v>131</v>
      </c>
      <c r="B535" t="s">
        <v>595</v>
      </c>
      <c r="C535">
        <v>0</v>
      </c>
      <c r="D535">
        <v>95</v>
      </c>
      <c r="E535">
        <v>2652</v>
      </c>
      <c r="F535">
        <v>2921</v>
      </c>
      <c r="G535">
        <v>2314</v>
      </c>
      <c r="H535">
        <v>1260</v>
      </c>
      <c r="I535">
        <v>3075</v>
      </c>
      <c r="J535">
        <v>6947</v>
      </c>
      <c r="K535">
        <v>11165</v>
      </c>
      <c r="L535">
        <v>6278</v>
      </c>
      <c r="M535">
        <v>36707</v>
      </c>
      <c r="P535" s="4"/>
    </row>
    <row r="536" spans="1:16" x14ac:dyDescent="0.3">
      <c r="A536" t="s">
        <v>131</v>
      </c>
      <c r="B536" t="s">
        <v>596</v>
      </c>
      <c r="C536">
        <v>0</v>
      </c>
      <c r="D536">
        <v>0</v>
      </c>
      <c r="E536">
        <v>2</v>
      </c>
      <c r="F536">
        <v>3</v>
      </c>
      <c r="G536">
        <v>1</v>
      </c>
      <c r="H536">
        <v>0</v>
      </c>
      <c r="I536">
        <v>0</v>
      </c>
      <c r="J536">
        <v>0</v>
      </c>
      <c r="K536">
        <v>0</v>
      </c>
      <c r="L536">
        <v>0</v>
      </c>
      <c r="M536">
        <v>6</v>
      </c>
      <c r="P536" s="3"/>
    </row>
    <row r="537" spans="1:16" x14ac:dyDescent="0.3">
      <c r="A537" t="s">
        <v>131</v>
      </c>
      <c r="B537" t="s">
        <v>597</v>
      </c>
      <c r="C537">
        <v>0</v>
      </c>
      <c r="D537">
        <v>0</v>
      </c>
      <c r="E537">
        <v>0</v>
      </c>
      <c r="F537">
        <v>69</v>
      </c>
      <c r="G537">
        <v>74</v>
      </c>
      <c r="H537">
        <v>53</v>
      </c>
      <c r="I537">
        <v>67</v>
      </c>
      <c r="J537">
        <v>20</v>
      </c>
      <c r="K537">
        <v>113</v>
      </c>
      <c r="L537">
        <v>24</v>
      </c>
      <c r="M537">
        <v>420</v>
      </c>
      <c r="P537" s="4"/>
    </row>
    <row r="538" spans="1:16" x14ac:dyDescent="0.3">
      <c r="A538" t="s">
        <v>131</v>
      </c>
      <c r="B538" t="s">
        <v>598</v>
      </c>
      <c r="C538">
        <v>0</v>
      </c>
      <c r="D538">
        <v>0</v>
      </c>
      <c r="E538">
        <v>43</v>
      </c>
      <c r="F538">
        <v>6</v>
      </c>
      <c r="G538">
        <v>0</v>
      </c>
      <c r="H538">
        <v>0</v>
      </c>
      <c r="I538">
        <v>0</v>
      </c>
      <c r="J538">
        <v>0</v>
      </c>
      <c r="K538">
        <v>0</v>
      </c>
      <c r="L538">
        <v>0</v>
      </c>
      <c r="M538">
        <v>49</v>
      </c>
      <c r="P538" s="3"/>
    </row>
    <row r="539" spans="1:16" x14ac:dyDescent="0.3">
      <c r="A539" t="s">
        <v>136</v>
      </c>
      <c r="B539" t="s">
        <v>598</v>
      </c>
      <c r="C539">
        <v>0</v>
      </c>
      <c r="D539">
        <v>0</v>
      </c>
      <c r="E539">
        <v>0</v>
      </c>
      <c r="F539">
        <v>0</v>
      </c>
      <c r="G539">
        <v>0</v>
      </c>
      <c r="H539">
        <v>0</v>
      </c>
      <c r="I539">
        <v>27</v>
      </c>
      <c r="J539">
        <v>40</v>
      </c>
      <c r="K539">
        <v>9</v>
      </c>
      <c r="L539">
        <v>4</v>
      </c>
      <c r="M539">
        <v>80</v>
      </c>
      <c r="P539" s="4"/>
    </row>
    <row r="540" spans="1:16" x14ac:dyDescent="0.3">
      <c r="A540" t="s">
        <v>136</v>
      </c>
      <c r="B540" t="s">
        <v>599</v>
      </c>
      <c r="C540">
        <v>1</v>
      </c>
      <c r="D540">
        <v>0</v>
      </c>
      <c r="E540">
        <v>0</v>
      </c>
      <c r="F540">
        <v>0</v>
      </c>
      <c r="G540">
        <v>0</v>
      </c>
      <c r="H540">
        <v>0</v>
      </c>
      <c r="I540">
        <v>0</v>
      </c>
      <c r="J540">
        <v>0</v>
      </c>
      <c r="K540">
        <v>0</v>
      </c>
      <c r="L540">
        <v>0</v>
      </c>
      <c r="M540">
        <v>1</v>
      </c>
      <c r="P540" s="3"/>
    </row>
    <row r="541" spans="1:16" x14ac:dyDescent="0.3">
      <c r="A541" t="s">
        <v>136</v>
      </c>
      <c r="B541" t="s">
        <v>600</v>
      </c>
      <c r="C541">
        <v>0</v>
      </c>
      <c r="D541">
        <v>0</v>
      </c>
      <c r="E541">
        <v>0</v>
      </c>
      <c r="F541">
        <v>0</v>
      </c>
      <c r="G541">
        <v>0</v>
      </c>
      <c r="H541">
        <v>0</v>
      </c>
      <c r="I541">
        <v>0</v>
      </c>
      <c r="J541">
        <v>1</v>
      </c>
      <c r="K541">
        <v>0</v>
      </c>
      <c r="L541">
        <v>0</v>
      </c>
      <c r="M541">
        <v>1</v>
      </c>
      <c r="P541" s="4"/>
    </row>
    <row r="542" spans="1:16" x14ac:dyDescent="0.3">
      <c r="A542" t="s">
        <v>131</v>
      </c>
      <c r="B542" t="s">
        <v>601</v>
      </c>
      <c r="C542">
        <v>0</v>
      </c>
      <c r="D542">
        <v>0</v>
      </c>
      <c r="E542">
        <v>0</v>
      </c>
      <c r="F542">
        <v>0</v>
      </c>
      <c r="G542">
        <v>0</v>
      </c>
      <c r="H542">
        <v>0</v>
      </c>
      <c r="I542">
        <v>0</v>
      </c>
      <c r="J542">
        <v>0</v>
      </c>
      <c r="K542">
        <v>165</v>
      </c>
      <c r="L542">
        <v>108</v>
      </c>
      <c r="M542">
        <v>273</v>
      </c>
      <c r="P542" s="3"/>
    </row>
    <row r="543" spans="1:16" x14ac:dyDescent="0.3">
      <c r="A543" t="s">
        <v>131</v>
      </c>
      <c r="B543" t="s">
        <v>602</v>
      </c>
      <c r="C543">
        <v>0</v>
      </c>
      <c r="D543">
        <v>0</v>
      </c>
      <c r="E543">
        <v>0</v>
      </c>
      <c r="F543">
        <v>157</v>
      </c>
      <c r="G543">
        <v>414</v>
      </c>
      <c r="H543">
        <v>249</v>
      </c>
      <c r="I543">
        <v>180</v>
      </c>
      <c r="J543">
        <v>636</v>
      </c>
      <c r="K543">
        <v>163</v>
      </c>
      <c r="L543">
        <v>61</v>
      </c>
      <c r="M543">
        <v>1860</v>
      </c>
      <c r="P543" s="4"/>
    </row>
    <row r="544" spans="1:16" x14ac:dyDescent="0.3">
      <c r="A544" t="s">
        <v>136</v>
      </c>
      <c r="B544" t="s">
        <v>602</v>
      </c>
      <c r="C544">
        <v>0</v>
      </c>
      <c r="D544">
        <v>0</v>
      </c>
      <c r="E544">
        <v>0</v>
      </c>
      <c r="F544">
        <v>0</v>
      </c>
      <c r="G544">
        <v>0</v>
      </c>
      <c r="H544">
        <v>0</v>
      </c>
      <c r="I544">
        <v>0</v>
      </c>
      <c r="J544">
        <v>1</v>
      </c>
      <c r="K544">
        <v>0</v>
      </c>
      <c r="L544">
        <v>0</v>
      </c>
      <c r="M544">
        <v>1</v>
      </c>
      <c r="P544" s="3"/>
    </row>
    <row r="545" spans="1:16" x14ac:dyDescent="0.3">
      <c r="A545" t="s">
        <v>131</v>
      </c>
      <c r="B545" t="s">
        <v>603</v>
      </c>
      <c r="C545">
        <v>0</v>
      </c>
      <c r="D545">
        <v>0</v>
      </c>
      <c r="E545">
        <v>0</v>
      </c>
      <c r="F545">
        <v>39</v>
      </c>
      <c r="G545">
        <v>80</v>
      </c>
      <c r="H545">
        <v>28</v>
      </c>
      <c r="I545">
        <v>33</v>
      </c>
      <c r="J545">
        <v>64</v>
      </c>
      <c r="K545">
        <v>143</v>
      </c>
      <c r="L545">
        <v>58</v>
      </c>
      <c r="M545">
        <v>445</v>
      </c>
      <c r="P545" s="4"/>
    </row>
    <row r="546" spans="1:16" x14ac:dyDescent="0.3">
      <c r="A546" t="s">
        <v>136</v>
      </c>
      <c r="B546" t="s">
        <v>603</v>
      </c>
      <c r="C546">
        <v>0</v>
      </c>
      <c r="D546">
        <v>0</v>
      </c>
      <c r="E546">
        <v>0</v>
      </c>
      <c r="F546">
        <v>0</v>
      </c>
      <c r="G546">
        <v>0</v>
      </c>
      <c r="H546">
        <v>0</v>
      </c>
      <c r="I546">
        <v>0</v>
      </c>
      <c r="J546">
        <v>0</v>
      </c>
      <c r="K546">
        <v>0</v>
      </c>
      <c r="L546">
        <v>1</v>
      </c>
      <c r="M546">
        <v>1</v>
      </c>
      <c r="P546" s="3"/>
    </row>
    <row r="547" spans="1:16" x14ac:dyDescent="0.3">
      <c r="A547" t="s">
        <v>131</v>
      </c>
      <c r="B547" t="s">
        <v>604</v>
      </c>
      <c r="C547">
        <v>0</v>
      </c>
      <c r="D547">
        <v>0</v>
      </c>
      <c r="E547">
        <v>0</v>
      </c>
      <c r="F547">
        <v>0</v>
      </c>
      <c r="G547">
        <v>0</v>
      </c>
      <c r="H547">
        <v>0</v>
      </c>
      <c r="I547">
        <v>176</v>
      </c>
      <c r="J547">
        <v>224</v>
      </c>
      <c r="K547">
        <v>600</v>
      </c>
      <c r="L547">
        <v>287</v>
      </c>
      <c r="M547">
        <v>1287</v>
      </c>
      <c r="P547" s="4"/>
    </row>
    <row r="548" spans="1:16" x14ac:dyDescent="0.3">
      <c r="A548" t="s">
        <v>131</v>
      </c>
      <c r="B548" t="s">
        <v>605</v>
      </c>
      <c r="C548">
        <v>0</v>
      </c>
      <c r="D548">
        <v>0</v>
      </c>
      <c r="E548">
        <v>8</v>
      </c>
      <c r="F548">
        <v>0</v>
      </c>
      <c r="G548">
        <v>0</v>
      </c>
      <c r="H548">
        <v>0</v>
      </c>
      <c r="I548">
        <v>0</v>
      </c>
      <c r="J548">
        <v>0</v>
      </c>
      <c r="K548">
        <v>0</v>
      </c>
      <c r="L548">
        <v>0</v>
      </c>
      <c r="M548">
        <v>8</v>
      </c>
      <c r="P548" s="3"/>
    </row>
    <row r="549" spans="1:16" x14ac:dyDescent="0.3">
      <c r="A549" t="s">
        <v>131</v>
      </c>
      <c r="B549" t="s">
        <v>606</v>
      </c>
      <c r="C549">
        <v>0</v>
      </c>
      <c r="D549">
        <v>0</v>
      </c>
      <c r="E549">
        <v>131</v>
      </c>
      <c r="F549">
        <v>779</v>
      </c>
      <c r="G549">
        <v>633</v>
      </c>
      <c r="H549">
        <v>660</v>
      </c>
      <c r="I549">
        <v>224</v>
      </c>
      <c r="J549">
        <v>396</v>
      </c>
      <c r="K549">
        <v>950</v>
      </c>
      <c r="L549">
        <v>770</v>
      </c>
      <c r="M549">
        <v>4543</v>
      </c>
      <c r="P549" s="4"/>
    </row>
    <row r="550" spans="1:16" x14ac:dyDescent="0.3">
      <c r="A550" t="s">
        <v>131</v>
      </c>
      <c r="B550" t="s">
        <v>607</v>
      </c>
      <c r="C550">
        <v>0</v>
      </c>
      <c r="D550">
        <v>0</v>
      </c>
      <c r="E550">
        <v>0</v>
      </c>
      <c r="F550">
        <v>0</v>
      </c>
      <c r="G550">
        <v>0</v>
      </c>
      <c r="H550">
        <v>0</v>
      </c>
      <c r="I550">
        <v>0</v>
      </c>
      <c r="J550">
        <v>0</v>
      </c>
      <c r="K550">
        <v>38</v>
      </c>
      <c r="L550">
        <v>2</v>
      </c>
      <c r="M550">
        <v>40</v>
      </c>
      <c r="P550" s="3"/>
    </row>
    <row r="551" spans="1:16" x14ac:dyDescent="0.3">
      <c r="A551" t="s">
        <v>136</v>
      </c>
      <c r="B551" t="s">
        <v>608</v>
      </c>
      <c r="C551">
        <v>1</v>
      </c>
      <c r="D551">
        <v>0</v>
      </c>
      <c r="E551">
        <v>0</v>
      </c>
      <c r="F551">
        <v>0</v>
      </c>
      <c r="G551">
        <v>0</v>
      </c>
      <c r="H551">
        <v>0</v>
      </c>
      <c r="I551">
        <v>0</v>
      </c>
      <c r="J551">
        <v>0</v>
      </c>
      <c r="K551">
        <v>0</v>
      </c>
      <c r="L551">
        <v>0</v>
      </c>
      <c r="M551">
        <v>1</v>
      </c>
      <c r="P551" s="4"/>
    </row>
    <row r="552" spans="1:16" x14ac:dyDescent="0.3">
      <c r="A552" t="s">
        <v>131</v>
      </c>
      <c r="B552" t="s">
        <v>609</v>
      </c>
      <c r="C552">
        <v>0</v>
      </c>
      <c r="D552">
        <v>36</v>
      </c>
      <c r="E552">
        <v>88</v>
      </c>
      <c r="F552">
        <v>26</v>
      </c>
      <c r="G552">
        <v>2</v>
      </c>
      <c r="H552">
        <v>1</v>
      </c>
      <c r="I552">
        <v>0</v>
      </c>
      <c r="J552">
        <v>0</v>
      </c>
      <c r="K552">
        <v>0</v>
      </c>
      <c r="L552">
        <v>0</v>
      </c>
      <c r="M552">
        <v>153</v>
      </c>
      <c r="P552" s="3"/>
    </row>
    <row r="553" spans="1:16" x14ac:dyDescent="0.3">
      <c r="A553" t="s">
        <v>136</v>
      </c>
      <c r="B553" t="s">
        <v>610</v>
      </c>
      <c r="C553">
        <v>0</v>
      </c>
      <c r="D553">
        <v>1</v>
      </c>
      <c r="E553">
        <v>0</v>
      </c>
      <c r="F553">
        <v>0</v>
      </c>
      <c r="G553">
        <v>0</v>
      </c>
      <c r="H553">
        <v>0</v>
      </c>
      <c r="I553">
        <v>0</v>
      </c>
      <c r="J553">
        <v>0</v>
      </c>
      <c r="K553">
        <v>0</v>
      </c>
      <c r="L553">
        <v>0</v>
      </c>
      <c r="M553">
        <v>1</v>
      </c>
      <c r="P553" s="4"/>
    </row>
    <row r="554" spans="1:16" x14ac:dyDescent="0.3">
      <c r="A554" t="s">
        <v>131</v>
      </c>
      <c r="B554" t="s">
        <v>611</v>
      </c>
      <c r="C554">
        <v>0</v>
      </c>
      <c r="D554">
        <v>3</v>
      </c>
      <c r="E554">
        <v>23</v>
      </c>
      <c r="F554">
        <v>0</v>
      </c>
      <c r="G554">
        <v>0</v>
      </c>
      <c r="H554">
        <v>0</v>
      </c>
      <c r="I554">
        <v>0</v>
      </c>
      <c r="J554">
        <v>0</v>
      </c>
      <c r="K554">
        <v>0</v>
      </c>
      <c r="L554">
        <v>0</v>
      </c>
      <c r="M554">
        <v>26</v>
      </c>
      <c r="P554" s="3"/>
    </row>
    <row r="555" spans="1:16" x14ac:dyDescent="0.3">
      <c r="A555" t="s">
        <v>136</v>
      </c>
      <c r="B555" t="s">
        <v>612</v>
      </c>
      <c r="C555">
        <v>1</v>
      </c>
      <c r="D555">
        <v>0</v>
      </c>
      <c r="E555">
        <v>0</v>
      </c>
      <c r="F555">
        <v>0</v>
      </c>
      <c r="G555">
        <v>0</v>
      </c>
      <c r="H555">
        <v>0</v>
      </c>
      <c r="I555">
        <v>0</v>
      </c>
      <c r="J555">
        <v>0</v>
      </c>
      <c r="K555">
        <v>0</v>
      </c>
      <c r="L555">
        <v>0</v>
      </c>
      <c r="M555">
        <v>1</v>
      </c>
      <c r="P555" s="4"/>
    </row>
    <row r="556" spans="1:16" x14ac:dyDescent="0.3">
      <c r="A556" t="s">
        <v>131</v>
      </c>
      <c r="B556" t="s">
        <v>613</v>
      </c>
      <c r="C556">
        <v>0</v>
      </c>
      <c r="D556">
        <v>0</v>
      </c>
      <c r="E556">
        <v>0</v>
      </c>
      <c r="F556">
        <v>0</v>
      </c>
      <c r="G556">
        <v>0</v>
      </c>
      <c r="H556">
        <v>0</v>
      </c>
      <c r="I556">
        <v>0</v>
      </c>
      <c r="J556">
        <v>0</v>
      </c>
      <c r="K556">
        <v>0</v>
      </c>
      <c r="L556">
        <v>5</v>
      </c>
      <c r="M556">
        <v>5</v>
      </c>
      <c r="P556" s="3"/>
    </row>
    <row r="557" spans="1:16" x14ac:dyDescent="0.3">
      <c r="A557" t="s">
        <v>131</v>
      </c>
      <c r="B557" t="s">
        <v>614</v>
      </c>
      <c r="C557">
        <v>0</v>
      </c>
      <c r="D557">
        <v>0</v>
      </c>
      <c r="E557">
        <v>0</v>
      </c>
      <c r="F557">
        <v>55</v>
      </c>
      <c r="G557">
        <v>248</v>
      </c>
      <c r="H557">
        <v>95</v>
      </c>
      <c r="I557">
        <v>42</v>
      </c>
      <c r="J557">
        <v>23</v>
      </c>
      <c r="K557">
        <v>6</v>
      </c>
      <c r="L557">
        <v>0</v>
      </c>
      <c r="M557">
        <v>469</v>
      </c>
      <c r="P557" s="4"/>
    </row>
    <row r="558" spans="1:16" x14ac:dyDescent="0.3">
      <c r="A558" t="s">
        <v>136</v>
      </c>
      <c r="B558" t="s">
        <v>615</v>
      </c>
      <c r="C558">
        <v>0</v>
      </c>
      <c r="D558">
        <v>0</v>
      </c>
      <c r="E558">
        <v>0</v>
      </c>
      <c r="F558">
        <v>0</v>
      </c>
      <c r="G558">
        <v>19</v>
      </c>
      <c r="H558">
        <v>42</v>
      </c>
      <c r="I558">
        <v>49</v>
      </c>
      <c r="J558">
        <v>0</v>
      </c>
      <c r="K558">
        <v>0</v>
      </c>
      <c r="L558">
        <v>0</v>
      </c>
      <c r="M558">
        <v>110</v>
      </c>
      <c r="P558" s="3"/>
    </row>
    <row r="559" spans="1:16" x14ac:dyDescent="0.3">
      <c r="A559" t="s">
        <v>131</v>
      </c>
      <c r="B559" t="s">
        <v>616</v>
      </c>
      <c r="C559">
        <v>0</v>
      </c>
      <c r="D559">
        <v>0</v>
      </c>
      <c r="E559">
        <v>0</v>
      </c>
      <c r="F559">
        <v>0</v>
      </c>
      <c r="G559">
        <v>0</v>
      </c>
      <c r="H559">
        <v>0</v>
      </c>
      <c r="I559">
        <v>0</v>
      </c>
      <c r="J559">
        <v>0</v>
      </c>
      <c r="K559">
        <v>0</v>
      </c>
      <c r="L559">
        <v>5</v>
      </c>
      <c r="M559">
        <v>5</v>
      </c>
      <c r="P559" s="4"/>
    </row>
    <row r="560" spans="1:16" x14ac:dyDescent="0.3">
      <c r="A560" t="s">
        <v>131</v>
      </c>
      <c r="B560" t="s">
        <v>617</v>
      </c>
      <c r="C560">
        <v>0</v>
      </c>
      <c r="D560">
        <v>0</v>
      </c>
      <c r="E560">
        <v>37</v>
      </c>
      <c r="F560">
        <v>9</v>
      </c>
      <c r="G560">
        <v>0</v>
      </c>
      <c r="H560">
        <v>0</v>
      </c>
      <c r="I560">
        <v>0</v>
      </c>
      <c r="J560">
        <v>0</v>
      </c>
      <c r="K560">
        <v>0</v>
      </c>
      <c r="L560">
        <v>0</v>
      </c>
      <c r="M560">
        <v>46</v>
      </c>
      <c r="P560" s="3"/>
    </row>
    <row r="561" spans="1:16" x14ac:dyDescent="0.3">
      <c r="A561" t="s">
        <v>136</v>
      </c>
      <c r="B561" t="s">
        <v>618</v>
      </c>
      <c r="C561">
        <v>0</v>
      </c>
      <c r="D561">
        <v>0</v>
      </c>
      <c r="E561">
        <v>1</v>
      </c>
      <c r="F561">
        <v>0</v>
      </c>
      <c r="G561">
        <v>0</v>
      </c>
      <c r="H561">
        <v>0</v>
      </c>
      <c r="I561">
        <v>0</v>
      </c>
      <c r="J561">
        <v>0</v>
      </c>
      <c r="K561">
        <v>0</v>
      </c>
      <c r="L561">
        <v>0</v>
      </c>
      <c r="M561">
        <v>1</v>
      </c>
      <c r="P561" s="4"/>
    </row>
    <row r="562" spans="1:16" x14ac:dyDescent="0.3">
      <c r="A562" t="s">
        <v>133</v>
      </c>
      <c r="B562" t="s">
        <v>619</v>
      </c>
      <c r="C562">
        <v>0</v>
      </c>
      <c r="D562">
        <v>0</v>
      </c>
      <c r="E562">
        <v>0</v>
      </c>
      <c r="F562">
        <v>0</v>
      </c>
      <c r="G562">
        <v>0</v>
      </c>
      <c r="H562">
        <v>0</v>
      </c>
      <c r="I562">
        <v>0</v>
      </c>
      <c r="J562">
        <v>0</v>
      </c>
      <c r="K562">
        <v>0</v>
      </c>
      <c r="L562">
        <v>1</v>
      </c>
      <c r="M562">
        <v>1</v>
      </c>
      <c r="P562" s="3"/>
    </row>
    <row r="563" spans="1:16" x14ac:dyDescent="0.3">
      <c r="A563" t="s">
        <v>131</v>
      </c>
      <c r="B563" t="s">
        <v>620</v>
      </c>
      <c r="C563">
        <v>0</v>
      </c>
      <c r="D563">
        <v>0</v>
      </c>
      <c r="E563">
        <v>0</v>
      </c>
      <c r="F563">
        <v>3</v>
      </c>
      <c r="G563">
        <v>0</v>
      </c>
      <c r="H563">
        <v>0</v>
      </c>
      <c r="I563">
        <v>0</v>
      </c>
      <c r="J563">
        <v>0</v>
      </c>
      <c r="K563">
        <v>0</v>
      </c>
      <c r="L563">
        <v>0</v>
      </c>
      <c r="M563">
        <v>3</v>
      </c>
      <c r="P563" s="4"/>
    </row>
    <row r="564" spans="1:16" x14ac:dyDescent="0.3">
      <c r="A564" t="s">
        <v>131</v>
      </c>
      <c r="B564" t="s">
        <v>621</v>
      </c>
      <c r="C564">
        <v>0</v>
      </c>
      <c r="D564">
        <v>0</v>
      </c>
      <c r="E564">
        <v>0</v>
      </c>
      <c r="F564">
        <v>174</v>
      </c>
      <c r="G564">
        <v>362</v>
      </c>
      <c r="H564">
        <v>43</v>
      </c>
      <c r="I564">
        <v>84</v>
      </c>
      <c r="J564">
        <v>155</v>
      </c>
      <c r="K564">
        <v>208</v>
      </c>
      <c r="L564">
        <v>101</v>
      </c>
      <c r="M564">
        <v>1127</v>
      </c>
      <c r="P564" s="3"/>
    </row>
    <row r="565" spans="1:16" x14ac:dyDescent="0.3">
      <c r="A565" t="s">
        <v>133</v>
      </c>
      <c r="B565" t="s">
        <v>622</v>
      </c>
      <c r="C565">
        <v>0</v>
      </c>
      <c r="D565">
        <v>0</v>
      </c>
      <c r="E565">
        <v>0</v>
      </c>
      <c r="F565">
        <v>0</v>
      </c>
      <c r="G565">
        <v>0</v>
      </c>
      <c r="H565">
        <v>0</v>
      </c>
      <c r="I565">
        <v>0</v>
      </c>
      <c r="J565">
        <v>0</v>
      </c>
      <c r="K565">
        <v>8</v>
      </c>
      <c r="L565">
        <v>40</v>
      </c>
      <c r="M565">
        <v>48</v>
      </c>
      <c r="P565" s="4"/>
    </row>
    <row r="566" spans="1:16" x14ac:dyDescent="0.3">
      <c r="A566" t="s">
        <v>133</v>
      </c>
      <c r="B566" t="s">
        <v>623</v>
      </c>
      <c r="C566">
        <v>0</v>
      </c>
      <c r="D566">
        <v>0</v>
      </c>
      <c r="E566">
        <v>0</v>
      </c>
      <c r="F566">
        <v>0</v>
      </c>
      <c r="G566">
        <v>0</v>
      </c>
      <c r="H566">
        <v>0</v>
      </c>
      <c r="I566">
        <v>0</v>
      </c>
      <c r="J566">
        <v>31</v>
      </c>
      <c r="K566">
        <v>454</v>
      </c>
      <c r="L566">
        <v>13</v>
      </c>
      <c r="M566">
        <v>498</v>
      </c>
      <c r="P566" s="3"/>
    </row>
    <row r="567" spans="1:16" x14ac:dyDescent="0.3">
      <c r="A567" t="s">
        <v>133</v>
      </c>
      <c r="B567" t="s">
        <v>624</v>
      </c>
      <c r="C567">
        <v>0</v>
      </c>
      <c r="D567">
        <v>0</v>
      </c>
      <c r="E567">
        <v>0</v>
      </c>
      <c r="F567">
        <v>0</v>
      </c>
      <c r="G567">
        <v>0</v>
      </c>
      <c r="H567">
        <v>0</v>
      </c>
      <c r="I567">
        <v>0</v>
      </c>
      <c r="J567">
        <v>0</v>
      </c>
      <c r="K567">
        <v>11</v>
      </c>
      <c r="L567">
        <v>4</v>
      </c>
      <c r="M567">
        <v>15</v>
      </c>
      <c r="P567" s="4"/>
    </row>
    <row r="568" spans="1:16" x14ac:dyDescent="0.3">
      <c r="A568" t="s">
        <v>133</v>
      </c>
      <c r="B568" t="s">
        <v>625</v>
      </c>
      <c r="C568">
        <v>0</v>
      </c>
      <c r="D568">
        <v>0</v>
      </c>
      <c r="E568">
        <v>0</v>
      </c>
      <c r="F568">
        <v>0</v>
      </c>
      <c r="G568">
        <v>0</v>
      </c>
      <c r="H568">
        <v>0</v>
      </c>
      <c r="I568">
        <v>0</v>
      </c>
      <c r="J568">
        <v>0</v>
      </c>
      <c r="K568">
        <v>20</v>
      </c>
      <c r="L568">
        <v>7</v>
      </c>
      <c r="M568">
        <v>27</v>
      </c>
      <c r="P568" s="3"/>
    </row>
    <row r="569" spans="1:16" x14ac:dyDescent="0.3">
      <c r="A569" t="s">
        <v>133</v>
      </c>
      <c r="B569" t="s">
        <v>626</v>
      </c>
      <c r="C569">
        <v>0</v>
      </c>
      <c r="D569">
        <v>0</v>
      </c>
      <c r="E569">
        <v>0</v>
      </c>
      <c r="F569">
        <v>0</v>
      </c>
      <c r="G569">
        <v>0</v>
      </c>
      <c r="H569">
        <v>0</v>
      </c>
      <c r="I569">
        <v>0</v>
      </c>
      <c r="J569">
        <v>0</v>
      </c>
      <c r="K569">
        <v>2</v>
      </c>
      <c r="L569">
        <v>0</v>
      </c>
      <c r="M569">
        <v>2</v>
      </c>
      <c r="P569" s="4"/>
    </row>
    <row r="570" spans="1:16" x14ac:dyDescent="0.3">
      <c r="A570" t="s">
        <v>133</v>
      </c>
      <c r="B570" t="s">
        <v>627</v>
      </c>
      <c r="C570">
        <v>0</v>
      </c>
      <c r="D570">
        <v>0</v>
      </c>
      <c r="E570">
        <v>0</v>
      </c>
      <c r="F570">
        <v>0</v>
      </c>
      <c r="G570">
        <v>0</v>
      </c>
      <c r="H570">
        <v>0</v>
      </c>
      <c r="I570">
        <v>0</v>
      </c>
      <c r="J570">
        <v>0</v>
      </c>
      <c r="K570">
        <v>22</v>
      </c>
      <c r="L570">
        <v>24</v>
      </c>
      <c r="M570">
        <v>46</v>
      </c>
      <c r="P570" s="3"/>
    </row>
    <row r="571" spans="1:16" x14ac:dyDescent="0.3">
      <c r="A571" t="s">
        <v>133</v>
      </c>
      <c r="B571" t="s">
        <v>628</v>
      </c>
      <c r="C571">
        <v>0</v>
      </c>
      <c r="D571">
        <v>0</v>
      </c>
      <c r="E571">
        <v>0</v>
      </c>
      <c r="F571">
        <v>0</v>
      </c>
      <c r="G571">
        <v>0</v>
      </c>
      <c r="H571">
        <v>0</v>
      </c>
      <c r="I571">
        <v>0</v>
      </c>
      <c r="J571">
        <v>0</v>
      </c>
      <c r="K571">
        <v>50</v>
      </c>
      <c r="L571">
        <v>10</v>
      </c>
      <c r="M571">
        <v>60</v>
      </c>
      <c r="P571" s="4"/>
    </row>
    <row r="572" spans="1:16" x14ac:dyDescent="0.3">
      <c r="A572" t="s">
        <v>133</v>
      </c>
      <c r="B572" t="s">
        <v>629</v>
      </c>
      <c r="C572">
        <v>0</v>
      </c>
      <c r="D572">
        <v>0</v>
      </c>
      <c r="E572">
        <v>0</v>
      </c>
      <c r="F572">
        <v>0</v>
      </c>
      <c r="G572">
        <v>0</v>
      </c>
      <c r="H572">
        <v>0</v>
      </c>
      <c r="I572">
        <v>0</v>
      </c>
      <c r="J572">
        <v>0</v>
      </c>
      <c r="K572">
        <v>1</v>
      </c>
      <c r="L572">
        <v>0</v>
      </c>
      <c r="M572">
        <v>1</v>
      </c>
      <c r="P572" s="3"/>
    </row>
    <row r="573" spans="1:16" x14ac:dyDescent="0.3">
      <c r="A573" t="s">
        <v>133</v>
      </c>
      <c r="B573" t="s">
        <v>630</v>
      </c>
      <c r="C573">
        <v>0</v>
      </c>
      <c r="D573">
        <v>0</v>
      </c>
      <c r="E573">
        <v>0</v>
      </c>
      <c r="F573">
        <v>0</v>
      </c>
      <c r="G573">
        <v>0</v>
      </c>
      <c r="H573">
        <v>0</v>
      </c>
      <c r="I573">
        <v>0</v>
      </c>
      <c r="J573">
        <v>0</v>
      </c>
      <c r="K573">
        <v>31</v>
      </c>
      <c r="L573">
        <v>10</v>
      </c>
      <c r="M573">
        <v>41</v>
      </c>
      <c r="P573" s="4"/>
    </row>
    <row r="574" spans="1:16" x14ac:dyDescent="0.3">
      <c r="A574" t="s">
        <v>133</v>
      </c>
      <c r="B574" t="s">
        <v>631</v>
      </c>
      <c r="C574">
        <v>0</v>
      </c>
      <c r="D574">
        <v>0</v>
      </c>
      <c r="E574">
        <v>0</v>
      </c>
      <c r="F574">
        <v>0</v>
      </c>
      <c r="G574">
        <v>0</v>
      </c>
      <c r="H574">
        <v>0</v>
      </c>
      <c r="I574">
        <v>0</v>
      </c>
      <c r="J574">
        <v>0</v>
      </c>
      <c r="K574">
        <v>0</v>
      </c>
      <c r="L574">
        <v>7</v>
      </c>
      <c r="M574">
        <v>7</v>
      </c>
      <c r="P574" s="3"/>
    </row>
    <row r="575" spans="1:16" x14ac:dyDescent="0.3">
      <c r="A575" t="s">
        <v>131</v>
      </c>
      <c r="B575" t="s">
        <v>632</v>
      </c>
      <c r="C575">
        <v>0</v>
      </c>
      <c r="D575">
        <v>0</v>
      </c>
      <c r="E575">
        <v>0</v>
      </c>
      <c r="F575">
        <v>0</v>
      </c>
      <c r="G575">
        <v>0</v>
      </c>
      <c r="H575">
        <v>0</v>
      </c>
      <c r="I575">
        <v>0</v>
      </c>
      <c r="J575">
        <v>0</v>
      </c>
      <c r="K575">
        <v>10</v>
      </c>
      <c r="L575">
        <v>16</v>
      </c>
      <c r="M575">
        <v>26</v>
      </c>
      <c r="P575" s="4"/>
    </row>
    <row r="576" spans="1:16" x14ac:dyDescent="0.3">
      <c r="A576" t="s">
        <v>133</v>
      </c>
      <c r="B576" t="s">
        <v>633</v>
      </c>
      <c r="C576">
        <v>0</v>
      </c>
      <c r="D576">
        <v>0</v>
      </c>
      <c r="E576">
        <v>0</v>
      </c>
      <c r="F576">
        <v>0</v>
      </c>
      <c r="G576">
        <v>0</v>
      </c>
      <c r="H576">
        <v>0</v>
      </c>
      <c r="I576">
        <v>0</v>
      </c>
      <c r="J576">
        <v>1</v>
      </c>
      <c r="K576">
        <v>10</v>
      </c>
      <c r="L576">
        <v>2</v>
      </c>
      <c r="M576">
        <v>13</v>
      </c>
      <c r="P576" s="3"/>
    </row>
    <row r="577" spans="1:16" x14ac:dyDescent="0.3">
      <c r="A577" t="s">
        <v>133</v>
      </c>
      <c r="B577" t="s">
        <v>634</v>
      </c>
      <c r="C577">
        <v>0</v>
      </c>
      <c r="D577">
        <v>0</v>
      </c>
      <c r="E577">
        <v>0</v>
      </c>
      <c r="F577">
        <v>0</v>
      </c>
      <c r="G577">
        <v>0</v>
      </c>
      <c r="H577">
        <v>0</v>
      </c>
      <c r="I577">
        <v>0</v>
      </c>
      <c r="J577">
        <v>12</v>
      </c>
      <c r="K577">
        <v>3</v>
      </c>
      <c r="L577">
        <v>2</v>
      </c>
      <c r="M577">
        <v>17</v>
      </c>
      <c r="P577" s="4"/>
    </row>
    <row r="578" spans="1:16" x14ac:dyDescent="0.3">
      <c r="A578" t="s">
        <v>133</v>
      </c>
      <c r="B578" t="s">
        <v>635</v>
      </c>
      <c r="C578">
        <v>0</v>
      </c>
      <c r="D578">
        <v>0</v>
      </c>
      <c r="E578">
        <v>0</v>
      </c>
      <c r="F578">
        <v>0</v>
      </c>
      <c r="G578">
        <v>0</v>
      </c>
      <c r="H578">
        <v>0</v>
      </c>
      <c r="I578">
        <v>2</v>
      </c>
      <c r="J578">
        <v>41</v>
      </c>
      <c r="K578">
        <v>85</v>
      </c>
      <c r="L578">
        <v>11</v>
      </c>
      <c r="M578">
        <v>139</v>
      </c>
      <c r="P578" s="3"/>
    </row>
    <row r="579" spans="1:16" x14ac:dyDescent="0.3">
      <c r="A579" t="s">
        <v>133</v>
      </c>
      <c r="B579" t="s">
        <v>636</v>
      </c>
      <c r="C579">
        <v>0</v>
      </c>
      <c r="D579">
        <v>0</v>
      </c>
      <c r="E579">
        <v>0</v>
      </c>
      <c r="F579">
        <v>0</v>
      </c>
      <c r="G579">
        <v>0</v>
      </c>
      <c r="H579">
        <v>0</v>
      </c>
      <c r="I579">
        <v>0</v>
      </c>
      <c r="J579">
        <v>496</v>
      </c>
      <c r="K579">
        <v>799</v>
      </c>
      <c r="L579">
        <v>121</v>
      </c>
      <c r="M579">
        <v>1416</v>
      </c>
      <c r="P579" s="4"/>
    </row>
    <row r="580" spans="1:16" x14ac:dyDescent="0.3">
      <c r="A580" t="s">
        <v>131</v>
      </c>
      <c r="B580" t="s">
        <v>637</v>
      </c>
      <c r="C580">
        <v>0</v>
      </c>
      <c r="D580">
        <v>137</v>
      </c>
      <c r="E580">
        <v>442</v>
      </c>
      <c r="F580">
        <v>471</v>
      </c>
      <c r="G580">
        <v>184</v>
      </c>
      <c r="H580">
        <v>6</v>
      </c>
      <c r="I580">
        <v>0</v>
      </c>
      <c r="J580">
        <v>0</v>
      </c>
      <c r="K580">
        <v>0</v>
      </c>
      <c r="L580">
        <v>0</v>
      </c>
      <c r="M580">
        <v>1240</v>
      </c>
      <c r="P580" s="3"/>
    </row>
    <row r="581" spans="1:16" x14ac:dyDescent="0.3">
      <c r="A581" t="s">
        <v>131</v>
      </c>
      <c r="B581" t="s">
        <v>638</v>
      </c>
      <c r="C581">
        <v>0</v>
      </c>
      <c r="D581">
        <v>0</v>
      </c>
      <c r="E581">
        <v>0</v>
      </c>
      <c r="F581">
        <v>3</v>
      </c>
      <c r="G581">
        <v>37</v>
      </c>
      <c r="H581">
        <v>3</v>
      </c>
      <c r="I581">
        <v>0</v>
      </c>
      <c r="J581">
        <v>0</v>
      </c>
      <c r="K581">
        <v>0</v>
      </c>
      <c r="L581">
        <v>0</v>
      </c>
      <c r="M581">
        <v>43</v>
      </c>
      <c r="P581" s="4"/>
    </row>
    <row r="582" spans="1:16" x14ac:dyDescent="0.3">
      <c r="A582" t="s">
        <v>133</v>
      </c>
      <c r="B582" t="s">
        <v>639</v>
      </c>
      <c r="C582">
        <v>0</v>
      </c>
      <c r="D582">
        <v>0</v>
      </c>
      <c r="E582">
        <v>0</v>
      </c>
      <c r="F582">
        <v>0</v>
      </c>
      <c r="G582">
        <v>46</v>
      </c>
      <c r="H582">
        <v>454</v>
      </c>
      <c r="I582">
        <v>1967</v>
      </c>
      <c r="J582">
        <v>9553</v>
      </c>
      <c r="K582">
        <v>2617</v>
      </c>
      <c r="L582">
        <v>687</v>
      </c>
      <c r="M582">
        <v>15324</v>
      </c>
      <c r="P582" s="3"/>
    </row>
    <row r="583" spans="1:16" x14ac:dyDescent="0.3">
      <c r="A583" t="s">
        <v>131</v>
      </c>
      <c r="B583" t="s">
        <v>639</v>
      </c>
      <c r="C583">
        <v>0</v>
      </c>
      <c r="D583">
        <v>0</v>
      </c>
      <c r="E583">
        <v>0</v>
      </c>
      <c r="F583">
        <v>1</v>
      </c>
      <c r="G583">
        <v>2</v>
      </c>
      <c r="H583">
        <v>32</v>
      </c>
      <c r="I583">
        <v>75</v>
      </c>
      <c r="J583">
        <v>66</v>
      </c>
      <c r="K583">
        <v>34</v>
      </c>
      <c r="L583">
        <v>5</v>
      </c>
      <c r="M583">
        <v>215</v>
      </c>
      <c r="P583" s="4"/>
    </row>
    <row r="584" spans="1:16" x14ac:dyDescent="0.3">
      <c r="A584" t="s">
        <v>136</v>
      </c>
      <c r="B584" t="s">
        <v>639</v>
      </c>
      <c r="C584">
        <v>0</v>
      </c>
      <c r="D584">
        <v>0</v>
      </c>
      <c r="E584">
        <v>0</v>
      </c>
      <c r="F584">
        <v>3</v>
      </c>
      <c r="G584">
        <v>1</v>
      </c>
      <c r="H584">
        <v>0</v>
      </c>
      <c r="I584">
        <v>0</v>
      </c>
      <c r="J584">
        <v>0</v>
      </c>
      <c r="K584">
        <v>0</v>
      </c>
      <c r="L584">
        <v>0</v>
      </c>
      <c r="M584">
        <v>4</v>
      </c>
      <c r="P584" s="3"/>
    </row>
    <row r="585" spans="1:16" x14ac:dyDescent="0.3">
      <c r="A585" t="s">
        <v>131</v>
      </c>
      <c r="B585" t="s">
        <v>640</v>
      </c>
      <c r="C585">
        <v>0</v>
      </c>
      <c r="D585">
        <v>0</v>
      </c>
      <c r="E585">
        <v>0</v>
      </c>
      <c r="F585">
        <v>0</v>
      </c>
      <c r="G585">
        <v>34</v>
      </c>
      <c r="H585">
        <v>89</v>
      </c>
      <c r="I585">
        <v>601</v>
      </c>
      <c r="J585">
        <v>680</v>
      </c>
      <c r="K585">
        <v>740</v>
      </c>
      <c r="L585">
        <v>348</v>
      </c>
      <c r="M585">
        <v>2492</v>
      </c>
      <c r="P585" s="4"/>
    </row>
    <row r="586" spans="1:16" x14ac:dyDescent="0.3">
      <c r="A586" t="s">
        <v>131</v>
      </c>
      <c r="B586" t="s">
        <v>641</v>
      </c>
      <c r="C586">
        <v>0</v>
      </c>
      <c r="D586">
        <v>0</v>
      </c>
      <c r="E586">
        <v>0</v>
      </c>
      <c r="F586">
        <v>0</v>
      </c>
      <c r="G586">
        <v>0</v>
      </c>
      <c r="H586">
        <v>0</v>
      </c>
      <c r="I586">
        <v>0</v>
      </c>
      <c r="J586">
        <v>0</v>
      </c>
      <c r="K586">
        <v>1077</v>
      </c>
      <c r="L586">
        <v>1383</v>
      </c>
      <c r="M586">
        <v>2460</v>
      </c>
      <c r="P586" s="3"/>
    </row>
    <row r="587" spans="1:16" x14ac:dyDescent="0.3">
      <c r="A587" t="s">
        <v>136</v>
      </c>
      <c r="B587" t="s">
        <v>642</v>
      </c>
      <c r="C587">
        <v>0</v>
      </c>
      <c r="D587">
        <v>1</v>
      </c>
      <c r="E587">
        <v>3</v>
      </c>
      <c r="F587">
        <v>2</v>
      </c>
      <c r="G587">
        <v>0</v>
      </c>
      <c r="H587">
        <v>0</v>
      </c>
      <c r="I587">
        <v>0</v>
      </c>
      <c r="J587">
        <v>0</v>
      </c>
      <c r="K587">
        <v>0</v>
      </c>
      <c r="L587">
        <v>0</v>
      </c>
      <c r="M587">
        <v>6</v>
      </c>
      <c r="P587" s="4"/>
    </row>
    <row r="588" spans="1:16" x14ac:dyDescent="0.3">
      <c r="A588" t="s">
        <v>131</v>
      </c>
      <c r="B588" t="s">
        <v>643</v>
      </c>
      <c r="C588">
        <v>0</v>
      </c>
      <c r="D588">
        <v>0</v>
      </c>
      <c r="E588">
        <v>0</v>
      </c>
      <c r="F588">
        <v>0</v>
      </c>
      <c r="G588">
        <v>0</v>
      </c>
      <c r="H588">
        <v>1</v>
      </c>
      <c r="I588">
        <v>5</v>
      </c>
      <c r="J588">
        <v>3</v>
      </c>
      <c r="K588">
        <v>14</v>
      </c>
      <c r="L588">
        <v>3</v>
      </c>
      <c r="M588">
        <v>26</v>
      </c>
      <c r="P588" s="3"/>
    </row>
    <row r="589" spans="1:16" x14ac:dyDescent="0.3">
      <c r="A589" t="s">
        <v>131</v>
      </c>
      <c r="B589" t="s">
        <v>644</v>
      </c>
      <c r="C589">
        <v>0</v>
      </c>
      <c r="D589">
        <v>0</v>
      </c>
      <c r="E589">
        <v>146</v>
      </c>
      <c r="F589">
        <v>283</v>
      </c>
      <c r="G589">
        <v>208</v>
      </c>
      <c r="H589">
        <v>43</v>
      </c>
      <c r="I589">
        <v>115</v>
      </c>
      <c r="J589">
        <v>306</v>
      </c>
      <c r="K589">
        <v>950</v>
      </c>
      <c r="L589">
        <v>678</v>
      </c>
      <c r="M589">
        <v>2729</v>
      </c>
      <c r="P589" s="4"/>
    </row>
    <row r="590" spans="1:16" x14ac:dyDescent="0.3">
      <c r="A590" t="s">
        <v>131</v>
      </c>
      <c r="B590" t="s">
        <v>645</v>
      </c>
      <c r="C590">
        <v>0</v>
      </c>
      <c r="D590">
        <v>0</v>
      </c>
      <c r="E590">
        <v>0</v>
      </c>
      <c r="F590">
        <v>0</v>
      </c>
      <c r="G590">
        <v>5</v>
      </c>
      <c r="H590">
        <v>0</v>
      </c>
      <c r="I590">
        <v>0</v>
      </c>
      <c r="J590">
        <v>0</v>
      </c>
      <c r="K590">
        <v>0</v>
      </c>
      <c r="L590">
        <v>0</v>
      </c>
      <c r="M590">
        <v>5</v>
      </c>
      <c r="P590" s="3"/>
    </row>
    <row r="591" spans="1:16" x14ac:dyDescent="0.3">
      <c r="A591" t="s">
        <v>133</v>
      </c>
      <c r="B591" t="s">
        <v>646</v>
      </c>
      <c r="C591">
        <v>0</v>
      </c>
      <c r="D591">
        <v>0</v>
      </c>
      <c r="E591">
        <v>0</v>
      </c>
      <c r="F591">
        <v>0</v>
      </c>
      <c r="G591">
        <v>0</v>
      </c>
      <c r="H591">
        <v>0</v>
      </c>
      <c r="I591">
        <v>0</v>
      </c>
      <c r="J591">
        <v>9</v>
      </c>
      <c r="K591">
        <v>52</v>
      </c>
      <c r="L591">
        <v>37</v>
      </c>
      <c r="M591">
        <v>98</v>
      </c>
      <c r="P591" s="4"/>
    </row>
    <row r="592" spans="1:16" x14ac:dyDescent="0.3">
      <c r="A592" t="s">
        <v>133</v>
      </c>
      <c r="B592" t="s">
        <v>647</v>
      </c>
      <c r="C592">
        <v>0</v>
      </c>
      <c r="D592">
        <v>0</v>
      </c>
      <c r="E592">
        <v>0</v>
      </c>
      <c r="F592">
        <v>0</v>
      </c>
      <c r="G592">
        <v>0</v>
      </c>
      <c r="H592">
        <v>0</v>
      </c>
      <c r="I592">
        <v>0</v>
      </c>
      <c r="J592">
        <v>37</v>
      </c>
      <c r="K592">
        <v>212</v>
      </c>
      <c r="L592">
        <v>102</v>
      </c>
      <c r="M592">
        <v>351</v>
      </c>
      <c r="P592" s="3"/>
    </row>
    <row r="593" spans="1:16" x14ac:dyDescent="0.3">
      <c r="A593" t="s">
        <v>133</v>
      </c>
      <c r="B593" t="s">
        <v>648</v>
      </c>
      <c r="C593">
        <v>0</v>
      </c>
      <c r="D593">
        <v>0</v>
      </c>
      <c r="E593">
        <v>0</v>
      </c>
      <c r="F593">
        <v>0</v>
      </c>
      <c r="G593">
        <v>0</v>
      </c>
      <c r="H593">
        <v>0</v>
      </c>
      <c r="I593">
        <v>0</v>
      </c>
      <c r="J593">
        <v>0</v>
      </c>
      <c r="K593">
        <v>0</v>
      </c>
      <c r="L593">
        <v>52</v>
      </c>
      <c r="M593">
        <v>52</v>
      </c>
      <c r="P593" s="4"/>
    </row>
    <row r="594" spans="1:16" x14ac:dyDescent="0.3">
      <c r="A594" t="s">
        <v>133</v>
      </c>
      <c r="B594" t="s">
        <v>649</v>
      </c>
      <c r="C594">
        <v>0</v>
      </c>
      <c r="D594">
        <v>0</v>
      </c>
      <c r="E594">
        <v>0</v>
      </c>
      <c r="F594">
        <v>0</v>
      </c>
      <c r="G594">
        <v>0</v>
      </c>
      <c r="H594">
        <v>0</v>
      </c>
      <c r="I594">
        <v>0</v>
      </c>
      <c r="J594">
        <v>0</v>
      </c>
      <c r="K594">
        <v>22</v>
      </c>
      <c r="L594">
        <v>23</v>
      </c>
      <c r="M594">
        <v>45</v>
      </c>
      <c r="P594" s="3"/>
    </row>
    <row r="595" spans="1:16" x14ac:dyDescent="0.3">
      <c r="A595" t="s">
        <v>136</v>
      </c>
      <c r="B595" t="s">
        <v>650</v>
      </c>
      <c r="C595">
        <v>0</v>
      </c>
      <c r="D595">
        <v>0</v>
      </c>
      <c r="E595">
        <v>2</v>
      </c>
      <c r="F595">
        <v>0</v>
      </c>
      <c r="G595">
        <v>0</v>
      </c>
      <c r="H595">
        <v>0</v>
      </c>
      <c r="I595">
        <v>0</v>
      </c>
      <c r="J595">
        <v>0</v>
      </c>
      <c r="K595">
        <v>0</v>
      </c>
      <c r="L595">
        <v>0</v>
      </c>
      <c r="M595">
        <v>2</v>
      </c>
      <c r="P595" s="4"/>
    </row>
    <row r="596" spans="1:16" x14ac:dyDescent="0.3">
      <c r="A596" t="s">
        <v>131</v>
      </c>
      <c r="B596" t="s">
        <v>651</v>
      </c>
      <c r="C596">
        <v>0</v>
      </c>
      <c r="D596">
        <v>9</v>
      </c>
      <c r="E596">
        <v>79</v>
      </c>
      <c r="F596">
        <v>238</v>
      </c>
      <c r="G596">
        <v>79</v>
      </c>
      <c r="H596">
        <v>6</v>
      </c>
      <c r="I596">
        <v>0</v>
      </c>
      <c r="J596">
        <v>0</v>
      </c>
      <c r="K596">
        <v>0</v>
      </c>
      <c r="L596">
        <v>0</v>
      </c>
      <c r="M596">
        <v>411</v>
      </c>
      <c r="P596" s="3"/>
    </row>
    <row r="597" spans="1:16" x14ac:dyDescent="0.3">
      <c r="A597" t="s">
        <v>136</v>
      </c>
      <c r="B597" t="s">
        <v>651</v>
      </c>
      <c r="C597">
        <v>0</v>
      </c>
      <c r="D597">
        <v>0</v>
      </c>
      <c r="E597">
        <v>0</v>
      </c>
      <c r="F597">
        <v>1</v>
      </c>
      <c r="G597">
        <v>0</v>
      </c>
      <c r="H597">
        <v>0</v>
      </c>
      <c r="I597">
        <v>0</v>
      </c>
      <c r="J597">
        <v>0</v>
      </c>
      <c r="K597">
        <v>0</v>
      </c>
      <c r="L597">
        <v>0</v>
      </c>
      <c r="M597">
        <v>1</v>
      </c>
      <c r="P597" s="4"/>
    </row>
    <row r="598" spans="1:16" x14ac:dyDescent="0.3">
      <c r="A598" t="s">
        <v>133</v>
      </c>
      <c r="B598" t="s">
        <v>652</v>
      </c>
      <c r="C598">
        <v>0</v>
      </c>
      <c r="D598">
        <v>0</v>
      </c>
      <c r="E598">
        <v>0</v>
      </c>
      <c r="F598">
        <v>0</v>
      </c>
      <c r="G598">
        <v>1</v>
      </c>
      <c r="H598">
        <v>0</v>
      </c>
      <c r="I598">
        <v>0</v>
      </c>
      <c r="J598">
        <v>0</v>
      </c>
      <c r="K598">
        <v>0</v>
      </c>
      <c r="L598">
        <v>0</v>
      </c>
      <c r="M598">
        <v>1</v>
      </c>
      <c r="P598" s="3"/>
    </row>
    <row r="599" spans="1:16" x14ac:dyDescent="0.3">
      <c r="A599" t="s">
        <v>131</v>
      </c>
      <c r="B599" t="s">
        <v>653</v>
      </c>
      <c r="C599">
        <v>0</v>
      </c>
      <c r="D599">
        <v>0</v>
      </c>
      <c r="E599">
        <v>0</v>
      </c>
      <c r="F599">
        <v>52</v>
      </c>
      <c r="G599">
        <v>143</v>
      </c>
      <c r="H599">
        <v>57</v>
      </c>
      <c r="I599">
        <v>129</v>
      </c>
      <c r="J599">
        <v>292</v>
      </c>
      <c r="K599">
        <v>156</v>
      </c>
      <c r="L599">
        <v>93</v>
      </c>
      <c r="M599">
        <v>922</v>
      </c>
      <c r="P599" s="4"/>
    </row>
    <row r="600" spans="1:16" x14ac:dyDescent="0.3">
      <c r="A600" t="s">
        <v>131</v>
      </c>
      <c r="B600" t="s">
        <v>654</v>
      </c>
      <c r="C600">
        <v>0</v>
      </c>
      <c r="D600">
        <v>0</v>
      </c>
      <c r="E600">
        <v>0</v>
      </c>
      <c r="F600">
        <v>0</v>
      </c>
      <c r="G600">
        <v>0</v>
      </c>
      <c r="H600">
        <v>0</v>
      </c>
      <c r="I600">
        <v>0</v>
      </c>
      <c r="J600">
        <v>0</v>
      </c>
      <c r="K600">
        <v>0</v>
      </c>
      <c r="L600">
        <v>8</v>
      </c>
      <c r="M600">
        <v>8</v>
      </c>
      <c r="P600" s="3"/>
    </row>
    <row r="601" spans="1:16" x14ac:dyDescent="0.3">
      <c r="A601" t="s">
        <v>131</v>
      </c>
      <c r="B601" t="s">
        <v>655</v>
      </c>
      <c r="C601">
        <v>0</v>
      </c>
      <c r="D601">
        <v>0</v>
      </c>
      <c r="E601">
        <v>0</v>
      </c>
      <c r="F601">
        <v>0</v>
      </c>
      <c r="G601">
        <v>26</v>
      </c>
      <c r="H601">
        <v>19</v>
      </c>
      <c r="I601">
        <v>10</v>
      </c>
      <c r="J601">
        <v>12</v>
      </c>
      <c r="K601">
        <v>38</v>
      </c>
      <c r="L601">
        <v>19</v>
      </c>
      <c r="M601">
        <v>124</v>
      </c>
      <c r="P601" s="4"/>
    </row>
    <row r="602" spans="1:16" x14ac:dyDescent="0.3">
      <c r="A602" t="s">
        <v>133</v>
      </c>
      <c r="B602" t="s">
        <v>656</v>
      </c>
      <c r="C602">
        <v>0</v>
      </c>
      <c r="D602">
        <v>0</v>
      </c>
      <c r="E602">
        <v>0</v>
      </c>
      <c r="F602">
        <v>0</v>
      </c>
      <c r="G602">
        <v>0</v>
      </c>
      <c r="H602">
        <v>0</v>
      </c>
      <c r="I602">
        <v>5</v>
      </c>
      <c r="J602">
        <v>107</v>
      </c>
      <c r="K602">
        <v>165</v>
      </c>
      <c r="L602">
        <v>27</v>
      </c>
      <c r="M602">
        <v>304</v>
      </c>
      <c r="P602" s="3"/>
    </row>
    <row r="603" spans="1:16" x14ac:dyDescent="0.3">
      <c r="A603" t="s">
        <v>131</v>
      </c>
      <c r="B603" t="s">
        <v>657</v>
      </c>
      <c r="C603">
        <v>0</v>
      </c>
      <c r="D603">
        <v>0</v>
      </c>
      <c r="E603">
        <v>6</v>
      </c>
      <c r="F603">
        <v>62</v>
      </c>
      <c r="G603">
        <v>40</v>
      </c>
      <c r="H603">
        <v>66</v>
      </c>
      <c r="I603">
        <v>78</v>
      </c>
      <c r="J603">
        <v>263</v>
      </c>
      <c r="K603">
        <v>479</v>
      </c>
      <c r="L603">
        <v>189</v>
      </c>
      <c r="M603">
        <v>1183</v>
      </c>
      <c r="P603" s="4"/>
    </row>
    <row r="604" spans="1:16" x14ac:dyDescent="0.3">
      <c r="A604" t="s">
        <v>131</v>
      </c>
      <c r="B604" t="s">
        <v>658</v>
      </c>
      <c r="C604">
        <v>0</v>
      </c>
      <c r="D604">
        <v>0</v>
      </c>
      <c r="E604">
        <v>0</v>
      </c>
      <c r="F604">
        <v>0</v>
      </c>
      <c r="G604">
        <v>0</v>
      </c>
      <c r="H604">
        <v>0</v>
      </c>
      <c r="I604">
        <v>0</v>
      </c>
      <c r="J604">
        <v>0</v>
      </c>
      <c r="K604">
        <v>8</v>
      </c>
      <c r="L604">
        <v>4</v>
      </c>
      <c r="M604">
        <v>12</v>
      </c>
      <c r="P604" s="3"/>
    </row>
    <row r="605" spans="1:16" x14ac:dyDescent="0.3">
      <c r="A605" t="s">
        <v>133</v>
      </c>
      <c r="B605" t="s">
        <v>659</v>
      </c>
      <c r="C605">
        <v>0</v>
      </c>
      <c r="D605">
        <v>0</v>
      </c>
      <c r="E605">
        <v>0</v>
      </c>
      <c r="F605">
        <v>0</v>
      </c>
      <c r="G605">
        <v>0</v>
      </c>
      <c r="H605">
        <v>0</v>
      </c>
      <c r="I605">
        <v>0</v>
      </c>
      <c r="J605">
        <v>0</v>
      </c>
      <c r="K605">
        <v>7</v>
      </c>
      <c r="L605">
        <v>10</v>
      </c>
      <c r="M605">
        <v>17</v>
      </c>
      <c r="P605" s="4"/>
    </row>
    <row r="606" spans="1:16" x14ac:dyDescent="0.3">
      <c r="A606" t="s">
        <v>133</v>
      </c>
      <c r="B606" t="s">
        <v>660</v>
      </c>
      <c r="C606">
        <v>0</v>
      </c>
      <c r="D606">
        <v>0</v>
      </c>
      <c r="E606">
        <v>0</v>
      </c>
      <c r="F606">
        <v>0</v>
      </c>
      <c r="G606">
        <v>0</v>
      </c>
      <c r="H606">
        <v>0</v>
      </c>
      <c r="I606">
        <v>0</v>
      </c>
      <c r="J606">
        <v>0</v>
      </c>
      <c r="K606">
        <v>51</v>
      </c>
      <c r="L606">
        <v>12</v>
      </c>
      <c r="M606">
        <v>63</v>
      </c>
      <c r="P606" s="3"/>
    </row>
    <row r="607" spans="1:16" x14ac:dyDescent="0.3">
      <c r="A607" t="s">
        <v>133</v>
      </c>
      <c r="B607" t="s">
        <v>661</v>
      </c>
      <c r="C607">
        <v>0</v>
      </c>
      <c r="D607">
        <v>0</v>
      </c>
      <c r="E607">
        <v>0</v>
      </c>
      <c r="F607">
        <v>0</v>
      </c>
      <c r="G607">
        <v>0</v>
      </c>
      <c r="H607">
        <v>0</v>
      </c>
      <c r="I607">
        <v>0</v>
      </c>
      <c r="J607">
        <v>0</v>
      </c>
      <c r="K607">
        <v>5</v>
      </c>
      <c r="L607">
        <v>2</v>
      </c>
      <c r="M607">
        <v>7</v>
      </c>
      <c r="P607" s="4"/>
    </row>
    <row r="608" spans="1:16" x14ac:dyDescent="0.3">
      <c r="A608" t="s">
        <v>133</v>
      </c>
      <c r="B608" t="s">
        <v>662</v>
      </c>
      <c r="C608">
        <v>0</v>
      </c>
      <c r="D608">
        <v>0</v>
      </c>
      <c r="E608">
        <v>0</v>
      </c>
      <c r="F608">
        <v>0</v>
      </c>
      <c r="G608">
        <v>0</v>
      </c>
      <c r="H608">
        <v>0</v>
      </c>
      <c r="I608">
        <v>0</v>
      </c>
      <c r="J608">
        <v>0</v>
      </c>
      <c r="K608">
        <v>0</v>
      </c>
      <c r="L608">
        <v>3</v>
      </c>
      <c r="M608">
        <v>3</v>
      </c>
      <c r="P608" s="3"/>
    </row>
    <row r="609" spans="1:16" x14ac:dyDescent="0.3">
      <c r="A609" t="s">
        <v>133</v>
      </c>
      <c r="B609" t="s">
        <v>663</v>
      </c>
      <c r="C609">
        <v>0</v>
      </c>
      <c r="D609">
        <v>0</v>
      </c>
      <c r="E609">
        <v>0</v>
      </c>
      <c r="F609">
        <v>0</v>
      </c>
      <c r="G609">
        <v>0</v>
      </c>
      <c r="H609">
        <v>0</v>
      </c>
      <c r="I609">
        <v>0</v>
      </c>
      <c r="J609">
        <v>0</v>
      </c>
      <c r="K609">
        <v>11</v>
      </c>
      <c r="L609">
        <v>17</v>
      </c>
      <c r="M609">
        <v>28</v>
      </c>
      <c r="P609" s="4"/>
    </row>
    <row r="610" spans="1:16" x14ac:dyDescent="0.3">
      <c r="A610" t="s">
        <v>131</v>
      </c>
      <c r="B610" t="s">
        <v>664</v>
      </c>
      <c r="C610">
        <v>0</v>
      </c>
      <c r="D610">
        <v>0</v>
      </c>
      <c r="E610">
        <v>0</v>
      </c>
      <c r="F610">
        <v>0</v>
      </c>
      <c r="G610">
        <v>0</v>
      </c>
      <c r="H610">
        <v>0</v>
      </c>
      <c r="I610">
        <v>0</v>
      </c>
      <c r="J610">
        <v>0</v>
      </c>
      <c r="K610">
        <v>0</v>
      </c>
      <c r="L610">
        <v>93</v>
      </c>
      <c r="M610">
        <v>93</v>
      </c>
      <c r="P610" s="3"/>
    </row>
    <row r="611" spans="1:16" x14ac:dyDescent="0.3">
      <c r="A611" t="s">
        <v>131</v>
      </c>
      <c r="B611" t="s">
        <v>665</v>
      </c>
      <c r="C611">
        <v>0</v>
      </c>
      <c r="D611">
        <v>0</v>
      </c>
      <c r="E611">
        <v>0</v>
      </c>
      <c r="F611">
        <v>55</v>
      </c>
      <c r="G611">
        <v>55</v>
      </c>
      <c r="H611">
        <v>39</v>
      </c>
      <c r="I611">
        <v>17</v>
      </c>
      <c r="J611">
        <v>2</v>
      </c>
      <c r="K611">
        <v>2</v>
      </c>
      <c r="L611">
        <v>0</v>
      </c>
      <c r="M611">
        <v>170</v>
      </c>
      <c r="P611" s="4"/>
    </row>
    <row r="612" spans="1:16" x14ac:dyDescent="0.3">
      <c r="A612" t="s">
        <v>131</v>
      </c>
      <c r="B612" t="s">
        <v>666</v>
      </c>
      <c r="C612">
        <v>0</v>
      </c>
      <c r="D612">
        <v>0</v>
      </c>
      <c r="E612">
        <v>25</v>
      </c>
      <c r="F612">
        <v>5</v>
      </c>
      <c r="G612">
        <v>5</v>
      </c>
      <c r="H612">
        <v>0</v>
      </c>
      <c r="I612">
        <v>0</v>
      </c>
      <c r="J612">
        <v>0</v>
      </c>
      <c r="K612">
        <v>0</v>
      </c>
      <c r="L612">
        <v>0</v>
      </c>
      <c r="M612">
        <v>35</v>
      </c>
      <c r="P612" s="3"/>
    </row>
    <row r="613" spans="1:16" x14ac:dyDescent="0.3">
      <c r="A613" t="s">
        <v>131</v>
      </c>
      <c r="B613" t="s">
        <v>667</v>
      </c>
      <c r="C613">
        <v>0</v>
      </c>
      <c r="D613">
        <v>0</v>
      </c>
      <c r="E613">
        <v>20</v>
      </c>
      <c r="F613">
        <v>96</v>
      </c>
      <c r="G613">
        <v>250</v>
      </c>
      <c r="H613">
        <v>96</v>
      </c>
      <c r="I613">
        <v>31</v>
      </c>
      <c r="J613">
        <v>110</v>
      </c>
      <c r="K613">
        <v>139</v>
      </c>
      <c r="L613">
        <v>9</v>
      </c>
      <c r="M613">
        <v>751</v>
      </c>
      <c r="P613" s="4"/>
    </row>
    <row r="614" spans="1:16" x14ac:dyDescent="0.3">
      <c r="A614" t="s">
        <v>136</v>
      </c>
      <c r="B614" t="s">
        <v>667</v>
      </c>
      <c r="C614">
        <v>0</v>
      </c>
      <c r="D614">
        <v>0</v>
      </c>
      <c r="E614">
        <v>1</v>
      </c>
      <c r="F614">
        <v>58</v>
      </c>
      <c r="G614">
        <v>7</v>
      </c>
      <c r="H614">
        <v>0</v>
      </c>
      <c r="I614">
        <v>0</v>
      </c>
      <c r="J614">
        <v>0</v>
      </c>
      <c r="K614">
        <v>0</v>
      </c>
      <c r="L614">
        <v>0</v>
      </c>
      <c r="M614">
        <v>66</v>
      </c>
      <c r="P614" s="3"/>
    </row>
    <row r="615" spans="1:16" x14ac:dyDescent="0.3">
      <c r="A615" t="s">
        <v>131</v>
      </c>
      <c r="B615" t="s">
        <v>668</v>
      </c>
      <c r="C615">
        <v>0</v>
      </c>
      <c r="D615">
        <v>0</v>
      </c>
      <c r="E615">
        <v>0</v>
      </c>
      <c r="F615">
        <v>1</v>
      </c>
      <c r="G615">
        <v>74</v>
      </c>
      <c r="H615">
        <v>70</v>
      </c>
      <c r="I615">
        <v>83</v>
      </c>
      <c r="J615">
        <v>136</v>
      </c>
      <c r="K615">
        <v>288</v>
      </c>
      <c r="L615">
        <v>211</v>
      </c>
      <c r="M615">
        <v>863</v>
      </c>
      <c r="P615" s="4"/>
    </row>
    <row r="616" spans="1:16" x14ac:dyDescent="0.3">
      <c r="A616" t="s">
        <v>131</v>
      </c>
      <c r="B616" t="s">
        <v>669</v>
      </c>
      <c r="C616">
        <v>0</v>
      </c>
      <c r="D616">
        <v>0</v>
      </c>
      <c r="E616">
        <v>0</v>
      </c>
      <c r="F616">
        <v>6</v>
      </c>
      <c r="G616">
        <v>5</v>
      </c>
      <c r="H616">
        <v>30</v>
      </c>
      <c r="I616">
        <v>9</v>
      </c>
      <c r="J616">
        <v>61</v>
      </c>
      <c r="K616">
        <v>122</v>
      </c>
      <c r="L616">
        <v>42</v>
      </c>
      <c r="M616">
        <v>275</v>
      </c>
      <c r="P616" s="3"/>
    </row>
    <row r="617" spans="1:16" x14ac:dyDescent="0.3">
      <c r="A617" t="s">
        <v>131</v>
      </c>
      <c r="B617" t="s">
        <v>670</v>
      </c>
      <c r="C617">
        <v>0</v>
      </c>
      <c r="D617">
        <v>0</v>
      </c>
      <c r="E617">
        <v>0</v>
      </c>
      <c r="F617">
        <v>0</v>
      </c>
      <c r="G617">
        <v>0</v>
      </c>
      <c r="H617">
        <v>0</v>
      </c>
      <c r="I617">
        <v>0</v>
      </c>
      <c r="J617">
        <v>0</v>
      </c>
      <c r="K617">
        <v>0</v>
      </c>
      <c r="L617">
        <v>33</v>
      </c>
      <c r="M617">
        <v>33</v>
      </c>
      <c r="P617" s="4"/>
    </row>
    <row r="618" spans="1:16" x14ac:dyDescent="0.3">
      <c r="A618" t="s">
        <v>131</v>
      </c>
      <c r="B618" t="s">
        <v>671</v>
      </c>
      <c r="C618">
        <v>0</v>
      </c>
      <c r="D618">
        <v>0</v>
      </c>
      <c r="E618">
        <v>0</v>
      </c>
      <c r="F618">
        <v>0</v>
      </c>
      <c r="G618">
        <v>2</v>
      </c>
      <c r="H618">
        <v>78</v>
      </c>
      <c r="I618">
        <v>1</v>
      </c>
      <c r="J618">
        <v>0</v>
      </c>
      <c r="K618">
        <v>0</v>
      </c>
      <c r="L618">
        <v>0</v>
      </c>
      <c r="M618">
        <v>81</v>
      </c>
      <c r="P618" s="3"/>
    </row>
    <row r="619" spans="1:16" x14ac:dyDescent="0.3">
      <c r="A619" t="s">
        <v>131</v>
      </c>
      <c r="B619" t="s">
        <v>672</v>
      </c>
      <c r="C619">
        <v>0</v>
      </c>
      <c r="D619">
        <v>0</v>
      </c>
      <c r="E619">
        <v>0</v>
      </c>
      <c r="F619">
        <v>205</v>
      </c>
      <c r="G619">
        <v>657</v>
      </c>
      <c r="H619">
        <v>357</v>
      </c>
      <c r="I619">
        <v>888</v>
      </c>
      <c r="J619">
        <v>1433</v>
      </c>
      <c r="K619">
        <v>1846</v>
      </c>
      <c r="L619">
        <v>1242</v>
      </c>
      <c r="M619">
        <v>6628</v>
      </c>
      <c r="P619" s="4"/>
    </row>
    <row r="620" spans="1:16" x14ac:dyDescent="0.3">
      <c r="A620" t="s">
        <v>131</v>
      </c>
      <c r="B620" t="s">
        <v>673</v>
      </c>
      <c r="C620">
        <v>0</v>
      </c>
      <c r="D620">
        <v>0</v>
      </c>
      <c r="E620">
        <v>19</v>
      </c>
      <c r="F620">
        <v>0</v>
      </c>
      <c r="G620">
        <v>0</v>
      </c>
      <c r="H620">
        <v>0</v>
      </c>
      <c r="I620">
        <v>0</v>
      </c>
      <c r="J620">
        <v>0</v>
      </c>
      <c r="K620">
        <v>0</v>
      </c>
      <c r="L620">
        <v>0</v>
      </c>
      <c r="M620">
        <v>19</v>
      </c>
      <c r="P620" s="3"/>
    </row>
    <row r="621" spans="1:16" x14ac:dyDescent="0.3">
      <c r="A621" t="s">
        <v>131</v>
      </c>
      <c r="B621" t="s">
        <v>674</v>
      </c>
      <c r="C621">
        <v>0</v>
      </c>
      <c r="D621">
        <v>0</v>
      </c>
      <c r="E621">
        <v>0</v>
      </c>
      <c r="F621">
        <v>1</v>
      </c>
      <c r="G621">
        <v>0</v>
      </c>
      <c r="H621">
        <v>0</v>
      </c>
      <c r="I621">
        <v>0</v>
      </c>
      <c r="J621">
        <v>0</v>
      </c>
      <c r="K621">
        <v>0</v>
      </c>
      <c r="L621">
        <v>0</v>
      </c>
      <c r="M621">
        <v>1</v>
      </c>
      <c r="P621" s="4"/>
    </row>
    <row r="622" spans="1:16" x14ac:dyDescent="0.3">
      <c r="A622" t="s">
        <v>131</v>
      </c>
      <c r="B622" t="s">
        <v>675</v>
      </c>
      <c r="C622">
        <v>0</v>
      </c>
      <c r="D622">
        <v>0</v>
      </c>
      <c r="E622">
        <v>1</v>
      </c>
      <c r="F622">
        <v>0</v>
      </c>
      <c r="G622">
        <v>0</v>
      </c>
      <c r="H622">
        <v>0</v>
      </c>
      <c r="I622">
        <v>0</v>
      </c>
      <c r="J622">
        <v>0</v>
      </c>
      <c r="K622">
        <v>0</v>
      </c>
      <c r="L622">
        <v>0</v>
      </c>
      <c r="M622">
        <v>1</v>
      </c>
      <c r="P622" s="3"/>
    </row>
    <row r="623" spans="1:16" x14ac:dyDescent="0.3">
      <c r="A623" t="s">
        <v>136</v>
      </c>
      <c r="B623" t="s">
        <v>676</v>
      </c>
      <c r="C623">
        <v>3</v>
      </c>
      <c r="D623">
        <v>0</v>
      </c>
      <c r="E623">
        <v>0</v>
      </c>
      <c r="F623">
        <v>0</v>
      </c>
      <c r="G623">
        <v>0</v>
      </c>
      <c r="H623">
        <v>0</v>
      </c>
      <c r="I623">
        <v>0</v>
      </c>
      <c r="J623">
        <v>0</v>
      </c>
      <c r="K623">
        <v>0</v>
      </c>
      <c r="L623">
        <v>0</v>
      </c>
      <c r="M623">
        <v>3</v>
      </c>
      <c r="P623" s="4"/>
    </row>
    <row r="624" spans="1:16" x14ac:dyDescent="0.3">
      <c r="A624" t="s">
        <v>181</v>
      </c>
      <c r="B624" t="s">
        <v>676</v>
      </c>
      <c r="C624">
        <v>1</v>
      </c>
      <c r="D624">
        <v>0</v>
      </c>
      <c r="E624">
        <v>0</v>
      </c>
      <c r="F624">
        <v>0</v>
      </c>
      <c r="G624">
        <v>0</v>
      </c>
      <c r="H624">
        <v>0</v>
      </c>
      <c r="I624">
        <v>0</v>
      </c>
      <c r="J624">
        <v>0</v>
      </c>
      <c r="K624">
        <v>0</v>
      </c>
      <c r="L624">
        <v>0</v>
      </c>
      <c r="M624">
        <v>1</v>
      </c>
      <c r="P624" s="3"/>
    </row>
    <row r="625" spans="1:16" x14ac:dyDescent="0.3">
      <c r="A625" t="s">
        <v>131</v>
      </c>
      <c r="B625" t="s">
        <v>677</v>
      </c>
      <c r="C625">
        <v>0</v>
      </c>
      <c r="D625">
        <v>0</v>
      </c>
      <c r="E625">
        <v>0</v>
      </c>
      <c r="F625">
        <v>0</v>
      </c>
      <c r="G625">
        <v>0</v>
      </c>
      <c r="H625">
        <v>0</v>
      </c>
      <c r="I625">
        <v>0</v>
      </c>
      <c r="J625">
        <v>0</v>
      </c>
      <c r="K625">
        <v>0</v>
      </c>
      <c r="L625">
        <v>2</v>
      </c>
      <c r="M625">
        <v>2</v>
      </c>
      <c r="P625" s="4"/>
    </row>
    <row r="626" spans="1:16" x14ac:dyDescent="0.3">
      <c r="A626" t="s">
        <v>131</v>
      </c>
      <c r="B626" t="s">
        <v>678</v>
      </c>
      <c r="C626">
        <v>0</v>
      </c>
      <c r="D626">
        <v>0</v>
      </c>
      <c r="E626">
        <v>2</v>
      </c>
      <c r="F626">
        <v>0</v>
      </c>
      <c r="G626">
        <v>0</v>
      </c>
      <c r="H626">
        <v>0</v>
      </c>
      <c r="I626">
        <v>0</v>
      </c>
      <c r="J626">
        <v>0</v>
      </c>
      <c r="K626">
        <v>0</v>
      </c>
      <c r="L626">
        <v>0</v>
      </c>
      <c r="M626">
        <v>2</v>
      </c>
      <c r="P626" s="3"/>
    </row>
    <row r="627" spans="1:16" x14ac:dyDescent="0.3">
      <c r="A627" t="s">
        <v>131</v>
      </c>
      <c r="B627" t="s">
        <v>679</v>
      </c>
      <c r="C627">
        <v>0</v>
      </c>
      <c r="D627">
        <v>0</v>
      </c>
      <c r="E627">
        <v>0</v>
      </c>
      <c r="F627">
        <v>0</v>
      </c>
      <c r="G627">
        <v>0</v>
      </c>
      <c r="H627">
        <v>0</v>
      </c>
      <c r="I627">
        <v>0</v>
      </c>
      <c r="J627">
        <v>47</v>
      </c>
      <c r="K627">
        <v>197</v>
      </c>
      <c r="L627">
        <v>105</v>
      </c>
      <c r="M627">
        <v>349</v>
      </c>
      <c r="P627" s="4"/>
    </row>
    <row r="628" spans="1:16" x14ac:dyDescent="0.3">
      <c r="A628" t="s">
        <v>131</v>
      </c>
      <c r="B628" t="s">
        <v>680</v>
      </c>
      <c r="C628">
        <v>0</v>
      </c>
      <c r="D628">
        <v>0</v>
      </c>
      <c r="E628">
        <v>3</v>
      </c>
      <c r="F628">
        <v>1</v>
      </c>
      <c r="G628">
        <v>0</v>
      </c>
      <c r="H628">
        <v>0</v>
      </c>
      <c r="I628">
        <v>0</v>
      </c>
      <c r="J628">
        <v>0</v>
      </c>
      <c r="K628">
        <v>0</v>
      </c>
      <c r="L628">
        <v>0</v>
      </c>
      <c r="M628">
        <v>4</v>
      </c>
      <c r="P628" s="3"/>
    </row>
    <row r="629" spans="1:16" x14ac:dyDescent="0.3">
      <c r="A629" t="s">
        <v>131</v>
      </c>
      <c r="B629" t="s">
        <v>681</v>
      </c>
      <c r="C629">
        <v>0</v>
      </c>
      <c r="D629">
        <v>0</v>
      </c>
      <c r="E629">
        <v>0</v>
      </c>
      <c r="F629">
        <v>0</v>
      </c>
      <c r="G629">
        <v>0</v>
      </c>
      <c r="H629">
        <v>36</v>
      </c>
      <c r="I629">
        <v>73</v>
      </c>
      <c r="J629">
        <v>32</v>
      </c>
      <c r="K629">
        <v>74</v>
      </c>
      <c r="L629">
        <v>87</v>
      </c>
      <c r="M629">
        <v>302</v>
      </c>
      <c r="P629" s="4"/>
    </row>
    <row r="630" spans="1:16" x14ac:dyDescent="0.3">
      <c r="A630" t="s">
        <v>131</v>
      </c>
      <c r="B630" t="s">
        <v>682</v>
      </c>
      <c r="C630">
        <v>0</v>
      </c>
      <c r="D630">
        <v>0</v>
      </c>
      <c r="E630">
        <v>0</v>
      </c>
      <c r="F630">
        <v>0</v>
      </c>
      <c r="G630">
        <v>0</v>
      </c>
      <c r="H630">
        <v>0</v>
      </c>
      <c r="I630">
        <v>190</v>
      </c>
      <c r="J630">
        <v>130</v>
      </c>
      <c r="K630">
        <v>224</v>
      </c>
      <c r="L630">
        <v>364</v>
      </c>
      <c r="M630">
        <v>908</v>
      </c>
      <c r="P630" s="3"/>
    </row>
    <row r="631" spans="1:16" x14ac:dyDescent="0.3">
      <c r="A631" t="s">
        <v>136</v>
      </c>
      <c r="B631" t="s">
        <v>682</v>
      </c>
      <c r="C631">
        <v>0</v>
      </c>
      <c r="D631">
        <v>0</v>
      </c>
      <c r="E631">
        <v>0</v>
      </c>
      <c r="F631">
        <v>0</v>
      </c>
      <c r="G631">
        <v>0</v>
      </c>
      <c r="H631">
        <v>0</v>
      </c>
      <c r="I631">
        <v>1</v>
      </c>
      <c r="J631">
        <v>0</v>
      </c>
      <c r="K631">
        <v>0</v>
      </c>
      <c r="L631">
        <v>0</v>
      </c>
      <c r="M631">
        <v>1</v>
      </c>
      <c r="P631" s="4"/>
    </row>
    <row r="632" spans="1:16" x14ac:dyDescent="0.3">
      <c r="A632" t="s">
        <v>131</v>
      </c>
      <c r="B632" t="s">
        <v>683</v>
      </c>
      <c r="C632">
        <v>0</v>
      </c>
      <c r="D632">
        <v>0</v>
      </c>
      <c r="E632">
        <v>0</v>
      </c>
      <c r="F632">
        <v>0</v>
      </c>
      <c r="G632">
        <v>0</v>
      </c>
      <c r="H632">
        <v>0</v>
      </c>
      <c r="I632">
        <v>0</v>
      </c>
      <c r="J632">
        <v>0</v>
      </c>
      <c r="K632">
        <v>0</v>
      </c>
      <c r="L632">
        <v>1</v>
      </c>
      <c r="M632">
        <v>1</v>
      </c>
      <c r="P632" s="3"/>
    </row>
    <row r="633" spans="1:16" x14ac:dyDescent="0.3">
      <c r="A633" t="s">
        <v>131</v>
      </c>
      <c r="B633" t="s">
        <v>684</v>
      </c>
      <c r="C633">
        <v>0</v>
      </c>
      <c r="D633">
        <v>0</v>
      </c>
      <c r="E633">
        <v>0</v>
      </c>
      <c r="F633">
        <v>0</v>
      </c>
      <c r="G633">
        <v>38</v>
      </c>
      <c r="H633">
        <v>72</v>
      </c>
      <c r="I633">
        <v>76</v>
      </c>
      <c r="J633">
        <v>321</v>
      </c>
      <c r="K633">
        <v>339</v>
      </c>
      <c r="L633">
        <v>170</v>
      </c>
      <c r="M633">
        <v>1016</v>
      </c>
      <c r="P633" s="4"/>
    </row>
    <row r="634" spans="1:16" x14ac:dyDescent="0.3">
      <c r="A634" t="s">
        <v>131</v>
      </c>
      <c r="B634" t="s">
        <v>685</v>
      </c>
      <c r="C634">
        <v>0</v>
      </c>
      <c r="D634">
        <v>0</v>
      </c>
      <c r="E634">
        <v>0</v>
      </c>
      <c r="F634">
        <v>0</v>
      </c>
      <c r="G634">
        <v>16</v>
      </c>
      <c r="H634">
        <v>8</v>
      </c>
      <c r="I634">
        <v>0</v>
      </c>
      <c r="J634">
        <v>47</v>
      </c>
      <c r="K634">
        <v>405</v>
      </c>
      <c r="L634">
        <v>522</v>
      </c>
      <c r="M634">
        <v>998</v>
      </c>
      <c r="P634" s="3"/>
    </row>
    <row r="635" spans="1:16" x14ac:dyDescent="0.3">
      <c r="A635" t="s">
        <v>136</v>
      </c>
      <c r="B635" t="s">
        <v>685</v>
      </c>
      <c r="C635">
        <v>0</v>
      </c>
      <c r="D635">
        <v>0</v>
      </c>
      <c r="E635">
        <v>0</v>
      </c>
      <c r="F635">
        <v>1</v>
      </c>
      <c r="G635">
        <v>0</v>
      </c>
      <c r="H635">
        <v>0</v>
      </c>
      <c r="I635">
        <v>0</v>
      </c>
      <c r="J635">
        <v>0</v>
      </c>
      <c r="K635">
        <v>0</v>
      </c>
      <c r="L635">
        <v>0</v>
      </c>
      <c r="M635">
        <v>1</v>
      </c>
      <c r="P635" s="4"/>
    </row>
    <row r="636" spans="1:16" x14ac:dyDescent="0.3">
      <c r="A636" t="s">
        <v>131</v>
      </c>
      <c r="B636" t="s">
        <v>686</v>
      </c>
      <c r="C636">
        <v>0</v>
      </c>
      <c r="D636">
        <v>0</v>
      </c>
      <c r="E636">
        <v>429</v>
      </c>
      <c r="F636">
        <v>11</v>
      </c>
      <c r="G636">
        <v>0</v>
      </c>
      <c r="H636">
        <v>21</v>
      </c>
      <c r="I636">
        <v>7</v>
      </c>
      <c r="J636">
        <v>31</v>
      </c>
      <c r="K636">
        <v>3</v>
      </c>
      <c r="L636">
        <v>0</v>
      </c>
      <c r="M636">
        <v>502</v>
      </c>
      <c r="P636" s="3"/>
    </row>
    <row r="637" spans="1:16" x14ac:dyDescent="0.3">
      <c r="A637" t="s">
        <v>131</v>
      </c>
      <c r="B637" t="s">
        <v>687</v>
      </c>
      <c r="C637">
        <v>0</v>
      </c>
      <c r="D637">
        <v>0</v>
      </c>
      <c r="E637">
        <v>129</v>
      </c>
      <c r="F637">
        <v>1299</v>
      </c>
      <c r="G637">
        <v>1233</v>
      </c>
      <c r="H637">
        <v>607</v>
      </c>
      <c r="I637">
        <v>1214</v>
      </c>
      <c r="J637">
        <v>3712</v>
      </c>
      <c r="K637">
        <v>8478</v>
      </c>
      <c r="L637">
        <v>5591</v>
      </c>
      <c r="M637">
        <v>22263</v>
      </c>
      <c r="P637" s="4"/>
    </row>
    <row r="638" spans="1:16" x14ac:dyDescent="0.3">
      <c r="A638" t="s">
        <v>131</v>
      </c>
      <c r="B638" t="s">
        <v>688</v>
      </c>
      <c r="C638">
        <v>0</v>
      </c>
      <c r="D638">
        <v>0</v>
      </c>
      <c r="E638">
        <v>1</v>
      </c>
      <c r="F638">
        <v>0</v>
      </c>
      <c r="G638">
        <v>0</v>
      </c>
      <c r="H638">
        <v>0</v>
      </c>
      <c r="I638">
        <v>0</v>
      </c>
      <c r="J638">
        <v>0</v>
      </c>
      <c r="K638">
        <v>0</v>
      </c>
      <c r="L638">
        <v>0</v>
      </c>
      <c r="M638">
        <v>1</v>
      </c>
      <c r="P638" s="3"/>
    </row>
    <row r="639" spans="1:16" x14ac:dyDescent="0.3">
      <c r="A639" t="s">
        <v>131</v>
      </c>
      <c r="B639" t="s">
        <v>689</v>
      </c>
      <c r="C639">
        <v>0</v>
      </c>
      <c r="D639">
        <v>48</v>
      </c>
      <c r="E639">
        <v>352</v>
      </c>
      <c r="F639">
        <v>177</v>
      </c>
      <c r="G639">
        <v>46</v>
      </c>
      <c r="H639">
        <v>13</v>
      </c>
      <c r="I639">
        <v>7</v>
      </c>
      <c r="J639">
        <v>2</v>
      </c>
      <c r="K639">
        <v>0</v>
      </c>
      <c r="L639">
        <v>0</v>
      </c>
      <c r="M639">
        <v>645</v>
      </c>
      <c r="P639" s="4"/>
    </row>
    <row r="640" spans="1:16" x14ac:dyDescent="0.3">
      <c r="A640" t="s">
        <v>136</v>
      </c>
      <c r="B640" t="s">
        <v>690</v>
      </c>
      <c r="C640">
        <v>0</v>
      </c>
      <c r="D640">
        <v>0</v>
      </c>
      <c r="E640">
        <v>0</v>
      </c>
      <c r="F640">
        <v>0</v>
      </c>
      <c r="G640">
        <v>0</v>
      </c>
      <c r="H640">
        <v>0</v>
      </c>
      <c r="I640">
        <v>0</v>
      </c>
      <c r="J640">
        <v>215</v>
      </c>
      <c r="K640">
        <v>438</v>
      </c>
      <c r="L640">
        <v>172</v>
      </c>
      <c r="M640">
        <v>825</v>
      </c>
      <c r="P640" s="3"/>
    </row>
    <row r="641" spans="1:16" x14ac:dyDescent="0.3">
      <c r="A641" t="s">
        <v>133</v>
      </c>
      <c r="B641" t="s">
        <v>691</v>
      </c>
      <c r="C641">
        <v>0</v>
      </c>
      <c r="D641">
        <v>0</v>
      </c>
      <c r="E641">
        <v>0</v>
      </c>
      <c r="F641">
        <v>0</v>
      </c>
      <c r="G641">
        <v>0</v>
      </c>
      <c r="H641">
        <v>0</v>
      </c>
      <c r="I641">
        <v>0</v>
      </c>
      <c r="J641">
        <v>2085</v>
      </c>
      <c r="K641">
        <v>7779</v>
      </c>
      <c r="L641">
        <v>7515</v>
      </c>
      <c r="M641">
        <v>17379</v>
      </c>
      <c r="P641" s="4"/>
    </row>
    <row r="642" spans="1:16" x14ac:dyDescent="0.3">
      <c r="A642" t="s">
        <v>131</v>
      </c>
      <c r="B642" t="s">
        <v>691</v>
      </c>
      <c r="C642">
        <v>0</v>
      </c>
      <c r="D642">
        <v>12</v>
      </c>
      <c r="E642">
        <v>383</v>
      </c>
      <c r="F642">
        <v>1374</v>
      </c>
      <c r="G642">
        <v>1463</v>
      </c>
      <c r="H642">
        <v>669</v>
      </c>
      <c r="I642">
        <v>835</v>
      </c>
      <c r="J642">
        <v>2704</v>
      </c>
      <c r="K642">
        <v>4648</v>
      </c>
      <c r="L642">
        <v>1756</v>
      </c>
      <c r="M642">
        <v>13844</v>
      </c>
      <c r="P642" s="3"/>
    </row>
    <row r="643" spans="1:16" x14ac:dyDescent="0.3">
      <c r="A643" t="s">
        <v>136</v>
      </c>
      <c r="B643" t="s">
        <v>691</v>
      </c>
      <c r="C643">
        <v>0</v>
      </c>
      <c r="D643">
        <v>0</v>
      </c>
      <c r="E643">
        <v>0</v>
      </c>
      <c r="F643">
        <v>3</v>
      </c>
      <c r="G643">
        <v>1</v>
      </c>
      <c r="H643">
        <v>0</v>
      </c>
      <c r="I643">
        <v>840</v>
      </c>
      <c r="J643">
        <v>8</v>
      </c>
      <c r="K643">
        <v>1</v>
      </c>
      <c r="L643">
        <v>30</v>
      </c>
      <c r="M643">
        <v>883</v>
      </c>
      <c r="P643" s="4"/>
    </row>
    <row r="644" spans="1:16" x14ac:dyDescent="0.3">
      <c r="A644" t="s">
        <v>131</v>
      </c>
      <c r="B644" t="s">
        <v>692</v>
      </c>
      <c r="C644">
        <v>29</v>
      </c>
      <c r="D644">
        <v>2005</v>
      </c>
      <c r="E644">
        <v>880</v>
      </c>
      <c r="F644">
        <v>68</v>
      </c>
      <c r="G644">
        <v>43</v>
      </c>
      <c r="H644">
        <v>38</v>
      </c>
      <c r="I644">
        <v>136</v>
      </c>
      <c r="J644">
        <v>316</v>
      </c>
      <c r="K644">
        <v>58</v>
      </c>
      <c r="L644">
        <v>0</v>
      </c>
      <c r="M644">
        <v>3573</v>
      </c>
      <c r="P644" s="3"/>
    </row>
    <row r="645" spans="1:16" x14ac:dyDescent="0.3">
      <c r="A645" t="s">
        <v>131</v>
      </c>
      <c r="B645" t="s">
        <v>693</v>
      </c>
      <c r="C645">
        <v>3</v>
      </c>
      <c r="D645">
        <v>250</v>
      </c>
      <c r="E645">
        <v>678</v>
      </c>
      <c r="F645">
        <v>13</v>
      </c>
      <c r="G645">
        <v>0</v>
      </c>
      <c r="H645">
        <v>0</v>
      </c>
      <c r="I645">
        <v>0</v>
      </c>
      <c r="J645">
        <v>0</v>
      </c>
      <c r="K645">
        <v>0</v>
      </c>
      <c r="L645">
        <v>0</v>
      </c>
      <c r="M645">
        <v>944</v>
      </c>
      <c r="P645" s="4"/>
    </row>
    <row r="646" spans="1:16" x14ac:dyDescent="0.3">
      <c r="A646" t="s">
        <v>136</v>
      </c>
      <c r="B646" t="s">
        <v>694</v>
      </c>
      <c r="C646">
        <v>2</v>
      </c>
      <c r="D646">
        <v>3</v>
      </c>
      <c r="E646">
        <v>4</v>
      </c>
      <c r="F646">
        <v>0</v>
      </c>
      <c r="G646">
        <v>0</v>
      </c>
      <c r="H646">
        <v>0</v>
      </c>
      <c r="I646">
        <v>0</v>
      </c>
      <c r="J646">
        <v>4</v>
      </c>
      <c r="K646">
        <v>0</v>
      </c>
      <c r="L646">
        <v>0</v>
      </c>
      <c r="M646">
        <v>13</v>
      </c>
      <c r="P646" s="3"/>
    </row>
    <row r="647" spans="1:16" x14ac:dyDescent="0.3">
      <c r="A647" t="s">
        <v>181</v>
      </c>
      <c r="B647" t="s">
        <v>694</v>
      </c>
      <c r="C647">
        <v>0</v>
      </c>
      <c r="D647">
        <v>2</v>
      </c>
      <c r="E647">
        <v>0</v>
      </c>
      <c r="F647">
        <v>0</v>
      </c>
      <c r="G647">
        <v>0</v>
      </c>
      <c r="H647">
        <v>0</v>
      </c>
      <c r="I647">
        <v>0</v>
      </c>
      <c r="J647">
        <v>0</v>
      </c>
      <c r="K647">
        <v>0</v>
      </c>
      <c r="L647">
        <v>0</v>
      </c>
      <c r="M647">
        <v>2</v>
      </c>
      <c r="P647" s="4"/>
    </row>
    <row r="648" spans="1:16" x14ac:dyDescent="0.3">
      <c r="A648" t="s">
        <v>131</v>
      </c>
      <c r="B648" t="s">
        <v>695</v>
      </c>
      <c r="C648">
        <v>0</v>
      </c>
      <c r="D648">
        <v>0</v>
      </c>
      <c r="E648">
        <v>0</v>
      </c>
      <c r="F648">
        <v>0</v>
      </c>
      <c r="G648">
        <v>0</v>
      </c>
      <c r="H648">
        <v>0</v>
      </c>
      <c r="I648">
        <v>0</v>
      </c>
      <c r="J648">
        <v>10</v>
      </c>
      <c r="K648">
        <v>81</v>
      </c>
      <c r="L648">
        <v>77</v>
      </c>
      <c r="M648">
        <v>168</v>
      </c>
      <c r="P648" s="3"/>
    </row>
    <row r="649" spans="1:16" x14ac:dyDescent="0.3">
      <c r="A649" t="s">
        <v>131</v>
      </c>
      <c r="B649" t="s">
        <v>696</v>
      </c>
      <c r="C649">
        <v>0</v>
      </c>
      <c r="D649">
        <v>8</v>
      </c>
      <c r="E649">
        <v>44</v>
      </c>
      <c r="F649">
        <v>287</v>
      </c>
      <c r="G649">
        <v>266</v>
      </c>
      <c r="H649">
        <v>304</v>
      </c>
      <c r="I649">
        <v>391</v>
      </c>
      <c r="J649">
        <v>101</v>
      </c>
      <c r="K649">
        <v>19</v>
      </c>
      <c r="L649">
        <v>7</v>
      </c>
      <c r="M649">
        <v>1427</v>
      </c>
      <c r="P649" s="4"/>
    </row>
    <row r="650" spans="1:16" x14ac:dyDescent="0.3">
      <c r="A650" t="s">
        <v>136</v>
      </c>
      <c r="B650" t="s">
        <v>697</v>
      </c>
      <c r="C650">
        <v>2</v>
      </c>
      <c r="D650">
        <v>1</v>
      </c>
      <c r="E650">
        <v>0</v>
      </c>
      <c r="F650">
        <v>0</v>
      </c>
      <c r="G650">
        <v>0</v>
      </c>
      <c r="H650">
        <v>0</v>
      </c>
      <c r="I650">
        <v>0</v>
      </c>
      <c r="J650">
        <v>0</v>
      </c>
      <c r="K650">
        <v>0</v>
      </c>
      <c r="L650">
        <v>0</v>
      </c>
      <c r="M650">
        <v>3</v>
      </c>
      <c r="P650" s="3"/>
    </row>
    <row r="651" spans="1:16" x14ac:dyDescent="0.3">
      <c r="A651" t="s">
        <v>133</v>
      </c>
      <c r="B651" t="s">
        <v>698</v>
      </c>
      <c r="C651">
        <v>0</v>
      </c>
      <c r="D651">
        <v>0</v>
      </c>
      <c r="E651">
        <v>0</v>
      </c>
      <c r="F651">
        <v>0</v>
      </c>
      <c r="G651">
        <v>0</v>
      </c>
      <c r="H651">
        <v>0</v>
      </c>
      <c r="I651">
        <v>1175</v>
      </c>
      <c r="J651">
        <v>3487</v>
      </c>
      <c r="K651">
        <v>4173</v>
      </c>
      <c r="L651">
        <v>1889</v>
      </c>
      <c r="M651">
        <v>10724</v>
      </c>
      <c r="P651" s="4"/>
    </row>
    <row r="652" spans="1:16" x14ac:dyDescent="0.3">
      <c r="A652" t="s">
        <v>131</v>
      </c>
      <c r="B652" t="s">
        <v>698</v>
      </c>
      <c r="C652">
        <v>0</v>
      </c>
      <c r="D652">
        <v>0</v>
      </c>
      <c r="E652">
        <v>0</v>
      </c>
      <c r="F652">
        <v>77</v>
      </c>
      <c r="G652">
        <v>80</v>
      </c>
      <c r="H652">
        <v>47</v>
      </c>
      <c r="I652">
        <v>34</v>
      </c>
      <c r="J652">
        <v>9</v>
      </c>
      <c r="K652">
        <v>4</v>
      </c>
      <c r="L652">
        <v>192</v>
      </c>
      <c r="M652">
        <v>443</v>
      </c>
      <c r="P652" s="3"/>
    </row>
    <row r="653" spans="1:16" x14ac:dyDescent="0.3">
      <c r="A653" t="s">
        <v>136</v>
      </c>
      <c r="B653" t="s">
        <v>698</v>
      </c>
      <c r="C653">
        <v>0</v>
      </c>
      <c r="D653">
        <v>0</v>
      </c>
      <c r="E653">
        <v>0</v>
      </c>
      <c r="F653">
        <v>0</v>
      </c>
      <c r="G653">
        <v>0</v>
      </c>
      <c r="H653">
        <v>0</v>
      </c>
      <c r="I653">
        <v>0</v>
      </c>
      <c r="J653">
        <v>0</v>
      </c>
      <c r="K653">
        <v>0</v>
      </c>
      <c r="L653">
        <v>1</v>
      </c>
      <c r="M653">
        <v>1</v>
      </c>
      <c r="P653" s="4"/>
    </row>
    <row r="654" spans="1:16" x14ac:dyDescent="0.3">
      <c r="A654" t="s">
        <v>131</v>
      </c>
      <c r="B654" t="s">
        <v>699</v>
      </c>
      <c r="C654">
        <v>8</v>
      </c>
      <c r="D654">
        <v>15</v>
      </c>
      <c r="E654">
        <v>1</v>
      </c>
      <c r="F654">
        <v>0</v>
      </c>
      <c r="G654">
        <v>0</v>
      </c>
      <c r="H654">
        <v>0</v>
      </c>
      <c r="I654">
        <v>0</v>
      </c>
      <c r="J654">
        <v>0</v>
      </c>
      <c r="K654">
        <v>0</v>
      </c>
      <c r="L654">
        <v>0</v>
      </c>
      <c r="M654">
        <v>24</v>
      </c>
      <c r="P654" s="3"/>
    </row>
    <row r="655" spans="1:16" x14ac:dyDescent="0.3">
      <c r="A655" t="s">
        <v>131</v>
      </c>
      <c r="B655" t="s">
        <v>700</v>
      </c>
      <c r="C655">
        <v>0</v>
      </c>
      <c r="D655">
        <v>3</v>
      </c>
      <c r="E655">
        <v>10</v>
      </c>
      <c r="F655">
        <v>4</v>
      </c>
      <c r="G655">
        <v>0</v>
      </c>
      <c r="H655">
        <v>0</v>
      </c>
      <c r="I655">
        <v>0</v>
      </c>
      <c r="J655">
        <v>0</v>
      </c>
      <c r="K655">
        <v>0</v>
      </c>
      <c r="L655">
        <v>0</v>
      </c>
      <c r="M655">
        <v>17</v>
      </c>
      <c r="P655" s="4"/>
    </row>
    <row r="656" spans="1:16" x14ac:dyDescent="0.3">
      <c r="A656" t="s">
        <v>131</v>
      </c>
      <c r="B656" t="s">
        <v>701</v>
      </c>
      <c r="C656">
        <v>0</v>
      </c>
      <c r="D656">
        <v>0</v>
      </c>
      <c r="E656">
        <v>0</v>
      </c>
      <c r="F656">
        <v>14</v>
      </c>
      <c r="G656">
        <v>3</v>
      </c>
      <c r="H656">
        <v>3</v>
      </c>
      <c r="I656">
        <v>4</v>
      </c>
      <c r="J656">
        <v>9</v>
      </c>
      <c r="K656">
        <v>11</v>
      </c>
      <c r="L656">
        <v>3</v>
      </c>
      <c r="M656">
        <v>47</v>
      </c>
      <c r="P656" s="3"/>
    </row>
    <row r="657" spans="1:16" x14ac:dyDescent="0.3">
      <c r="A657" t="s">
        <v>131</v>
      </c>
      <c r="B657" t="s">
        <v>702</v>
      </c>
      <c r="C657">
        <v>0</v>
      </c>
      <c r="D657">
        <v>0</v>
      </c>
      <c r="E657">
        <v>0</v>
      </c>
      <c r="F657">
        <v>0</v>
      </c>
      <c r="G657">
        <v>0</v>
      </c>
      <c r="H657">
        <v>0</v>
      </c>
      <c r="I657">
        <v>0</v>
      </c>
      <c r="J657">
        <v>15</v>
      </c>
      <c r="K657">
        <v>81</v>
      </c>
      <c r="L657">
        <v>26</v>
      </c>
      <c r="M657">
        <v>122</v>
      </c>
      <c r="P657" s="4"/>
    </row>
    <row r="658" spans="1:16" x14ac:dyDescent="0.3">
      <c r="A658" t="s">
        <v>131</v>
      </c>
      <c r="B658" t="s">
        <v>703</v>
      </c>
      <c r="C658">
        <v>0</v>
      </c>
      <c r="D658">
        <v>0</v>
      </c>
      <c r="E658">
        <v>9</v>
      </c>
      <c r="F658">
        <v>0</v>
      </c>
      <c r="G658">
        <v>0</v>
      </c>
      <c r="H658">
        <v>0</v>
      </c>
      <c r="I658">
        <v>0</v>
      </c>
      <c r="J658">
        <v>0</v>
      </c>
      <c r="K658">
        <v>0</v>
      </c>
      <c r="L658">
        <v>0</v>
      </c>
      <c r="M658">
        <v>9</v>
      </c>
      <c r="P658" s="3"/>
    </row>
    <row r="659" spans="1:16" x14ac:dyDescent="0.3">
      <c r="A659" t="s">
        <v>131</v>
      </c>
      <c r="B659" t="s">
        <v>704</v>
      </c>
      <c r="C659">
        <v>0</v>
      </c>
      <c r="D659">
        <v>0</v>
      </c>
      <c r="E659">
        <v>0</v>
      </c>
      <c r="F659">
        <v>1</v>
      </c>
      <c r="G659">
        <v>21</v>
      </c>
      <c r="H659">
        <v>27</v>
      </c>
      <c r="I659">
        <v>5</v>
      </c>
      <c r="J659">
        <v>3</v>
      </c>
      <c r="K659">
        <v>0</v>
      </c>
      <c r="L659">
        <v>0</v>
      </c>
      <c r="M659">
        <v>57</v>
      </c>
      <c r="P659" s="4"/>
    </row>
    <row r="660" spans="1:16" x14ac:dyDescent="0.3">
      <c r="A660" t="s">
        <v>131</v>
      </c>
      <c r="B660" t="s">
        <v>705</v>
      </c>
      <c r="C660">
        <v>0</v>
      </c>
      <c r="D660">
        <v>0</v>
      </c>
      <c r="E660">
        <v>0</v>
      </c>
      <c r="F660">
        <v>10</v>
      </c>
      <c r="G660">
        <v>6</v>
      </c>
      <c r="H660">
        <v>0</v>
      </c>
      <c r="I660">
        <v>0</v>
      </c>
      <c r="J660">
        <v>0</v>
      </c>
      <c r="K660">
        <v>0</v>
      </c>
      <c r="L660">
        <v>0</v>
      </c>
      <c r="M660">
        <v>16</v>
      </c>
      <c r="P660" s="3"/>
    </row>
    <row r="661" spans="1:16" x14ac:dyDescent="0.3">
      <c r="A661" t="s">
        <v>131</v>
      </c>
      <c r="B661" t="s">
        <v>706</v>
      </c>
      <c r="C661">
        <v>0</v>
      </c>
      <c r="D661">
        <v>0</v>
      </c>
      <c r="E661">
        <v>0</v>
      </c>
      <c r="F661">
        <v>1</v>
      </c>
      <c r="G661">
        <v>0</v>
      </c>
      <c r="H661">
        <v>0</v>
      </c>
      <c r="I661">
        <v>0</v>
      </c>
      <c r="J661">
        <v>0</v>
      </c>
      <c r="K661">
        <v>0</v>
      </c>
      <c r="L661">
        <v>0</v>
      </c>
      <c r="M661">
        <v>1</v>
      </c>
      <c r="P661" s="4"/>
    </row>
    <row r="662" spans="1:16" x14ac:dyDescent="0.3">
      <c r="A662" t="s">
        <v>131</v>
      </c>
      <c r="B662" t="s">
        <v>707</v>
      </c>
      <c r="C662">
        <v>0</v>
      </c>
      <c r="D662">
        <v>5</v>
      </c>
      <c r="E662">
        <v>6</v>
      </c>
      <c r="F662">
        <v>0</v>
      </c>
      <c r="G662">
        <v>0</v>
      </c>
      <c r="H662">
        <v>0</v>
      </c>
      <c r="I662">
        <v>0</v>
      </c>
      <c r="J662">
        <v>0</v>
      </c>
      <c r="K662">
        <v>0</v>
      </c>
      <c r="L662">
        <v>0</v>
      </c>
      <c r="M662">
        <v>11</v>
      </c>
      <c r="P662" s="3"/>
    </row>
    <row r="663" spans="1:16" x14ac:dyDescent="0.3">
      <c r="A663" t="s">
        <v>131</v>
      </c>
      <c r="B663" t="s">
        <v>708</v>
      </c>
      <c r="C663">
        <v>0</v>
      </c>
      <c r="D663">
        <v>8</v>
      </c>
      <c r="E663">
        <v>168</v>
      </c>
      <c r="F663">
        <v>394</v>
      </c>
      <c r="G663">
        <v>419</v>
      </c>
      <c r="H663">
        <v>220</v>
      </c>
      <c r="I663">
        <v>530</v>
      </c>
      <c r="J663">
        <v>684</v>
      </c>
      <c r="K663">
        <v>904</v>
      </c>
      <c r="L663">
        <v>748</v>
      </c>
      <c r="M663">
        <v>4075</v>
      </c>
      <c r="P663" s="4"/>
    </row>
    <row r="664" spans="1:16" x14ac:dyDescent="0.3">
      <c r="A664" t="s">
        <v>136</v>
      </c>
      <c r="B664" t="s">
        <v>708</v>
      </c>
      <c r="C664">
        <v>0</v>
      </c>
      <c r="D664">
        <v>0</v>
      </c>
      <c r="E664">
        <v>0</v>
      </c>
      <c r="F664">
        <v>2</v>
      </c>
      <c r="G664">
        <v>0</v>
      </c>
      <c r="H664">
        <v>0</v>
      </c>
      <c r="I664">
        <v>0</v>
      </c>
      <c r="J664">
        <v>0</v>
      </c>
      <c r="K664">
        <v>0</v>
      </c>
      <c r="L664">
        <v>0</v>
      </c>
      <c r="M664">
        <v>2</v>
      </c>
      <c r="P664" s="3"/>
    </row>
    <row r="665" spans="1:16" x14ac:dyDescent="0.3">
      <c r="A665" t="s">
        <v>131</v>
      </c>
      <c r="B665" t="s">
        <v>709</v>
      </c>
      <c r="C665">
        <v>0</v>
      </c>
      <c r="D665">
        <v>0</v>
      </c>
      <c r="E665">
        <v>1</v>
      </c>
      <c r="F665">
        <v>0</v>
      </c>
      <c r="G665">
        <v>28</v>
      </c>
      <c r="H665">
        <v>39</v>
      </c>
      <c r="I665">
        <v>37</v>
      </c>
      <c r="J665">
        <v>41</v>
      </c>
      <c r="K665">
        <v>5</v>
      </c>
      <c r="L665">
        <v>0</v>
      </c>
      <c r="M665">
        <v>151</v>
      </c>
      <c r="P665" s="4"/>
    </row>
    <row r="666" spans="1:16" x14ac:dyDescent="0.3">
      <c r="A666" t="s">
        <v>131</v>
      </c>
      <c r="B666" t="s">
        <v>710</v>
      </c>
      <c r="C666">
        <v>0</v>
      </c>
      <c r="D666">
        <v>0</v>
      </c>
      <c r="E666">
        <v>0</v>
      </c>
      <c r="F666">
        <v>125</v>
      </c>
      <c r="G666">
        <v>127</v>
      </c>
      <c r="H666">
        <v>40</v>
      </c>
      <c r="I666">
        <v>25</v>
      </c>
      <c r="J666">
        <v>162</v>
      </c>
      <c r="K666">
        <v>335</v>
      </c>
      <c r="L666">
        <v>91</v>
      </c>
      <c r="M666">
        <v>905</v>
      </c>
      <c r="P666" s="3"/>
    </row>
    <row r="667" spans="1:16" x14ac:dyDescent="0.3">
      <c r="A667" t="s">
        <v>133</v>
      </c>
      <c r="B667" t="s">
        <v>711</v>
      </c>
      <c r="C667">
        <v>1</v>
      </c>
      <c r="D667">
        <v>0</v>
      </c>
      <c r="E667">
        <v>0</v>
      </c>
      <c r="F667">
        <v>0</v>
      </c>
      <c r="G667">
        <v>0</v>
      </c>
      <c r="H667">
        <v>0</v>
      </c>
      <c r="I667">
        <v>0</v>
      </c>
      <c r="J667">
        <v>0</v>
      </c>
      <c r="K667">
        <v>0</v>
      </c>
      <c r="L667">
        <v>0</v>
      </c>
      <c r="M667">
        <v>1</v>
      </c>
      <c r="P667" s="4"/>
    </row>
    <row r="668" spans="1:16" x14ac:dyDescent="0.3">
      <c r="A668" t="s">
        <v>136</v>
      </c>
      <c r="B668" t="s">
        <v>712</v>
      </c>
      <c r="C668">
        <v>1</v>
      </c>
      <c r="D668">
        <v>0</v>
      </c>
      <c r="E668">
        <v>0</v>
      </c>
      <c r="F668">
        <v>0</v>
      </c>
      <c r="G668">
        <v>0</v>
      </c>
      <c r="H668">
        <v>0</v>
      </c>
      <c r="I668">
        <v>0</v>
      </c>
      <c r="J668">
        <v>0</v>
      </c>
      <c r="K668">
        <v>0</v>
      </c>
      <c r="L668">
        <v>0</v>
      </c>
      <c r="M668">
        <v>1</v>
      </c>
      <c r="P668" s="3"/>
    </row>
    <row r="669" spans="1:16" x14ac:dyDescent="0.3">
      <c r="A669" t="s">
        <v>131</v>
      </c>
      <c r="B669" t="s">
        <v>713</v>
      </c>
      <c r="C669">
        <v>39</v>
      </c>
      <c r="D669">
        <v>190</v>
      </c>
      <c r="E669">
        <v>421</v>
      </c>
      <c r="F669">
        <v>348</v>
      </c>
      <c r="G669">
        <v>307</v>
      </c>
      <c r="H669">
        <v>207</v>
      </c>
      <c r="I669">
        <v>203</v>
      </c>
      <c r="J669">
        <v>338</v>
      </c>
      <c r="K669">
        <v>569</v>
      </c>
      <c r="L669">
        <v>189</v>
      </c>
      <c r="M669">
        <v>2811</v>
      </c>
      <c r="P669" s="4"/>
    </row>
    <row r="670" spans="1:16" x14ac:dyDescent="0.3">
      <c r="A670" t="s">
        <v>136</v>
      </c>
      <c r="B670" t="s">
        <v>713</v>
      </c>
      <c r="C670">
        <v>0</v>
      </c>
      <c r="D670">
        <v>0</v>
      </c>
      <c r="E670">
        <v>0</v>
      </c>
      <c r="F670">
        <v>0</v>
      </c>
      <c r="G670">
        <v>0</v>
      </c>
      <c r="H670">
        <v>0</v>
      </c>
      <c r="I670">
        <v>0</v>
      </c>
      <c r="J670">
        <v>0</v>
      </c>
      <c r="K670">
        <v>1</v>
      </c>
      <c r="L670">
        <v>0</v>
      </c>
      <c r="M670">
        <v>1</v>
      </c>
      <c r="P670" s="3"/>
    </row>
    <row r="671" spans="1:16" x14ac:dyDescent="0.3">
      <c r="A671" t="s">
        <v>131</v>
      </c>
      <c r="B671" t="s">
        <v>714</v>
      </c>
      <c r="C671">
        <v>0</v>
      </c>
      <c r="D671">
        <v>0</v>
      </c>
      <c r="E671">
        <v>0</v>
      </c>
      <c r="F671">
        <v>0</v>
      </c>
      <c r="G671">
        <v>0</v>
      </c>
      <c r="H671">
        <v>0</v>
      </c>
      <c r="I671">
        <v>314</v>
      </c>
      <c r="J671">
        <v>1317</v>
      </c>
      <c r="K671">
        <v>2469</v>
      </c>
      <c r="L671">
        <v>1100</v>
      </c>
      <c r="M671">
        <v>5200</v>
      </c>
      <c r="P671" s="4"/>
    </row>
    <row r="672" spans="1:16" x14ac:dyDescent="0.3">
      <c r="A672" t="s">
        <v>131</v>
      </c>
      <c r="B672" t="s">
        <v>715</v>
      </c>
      <c r="C672">
        <v>0</v>
      </c>
      <c r="D672">
        <v>1</v>
      </c>
      <c r="E672">
        <v>3</v>
      </c>
      <c r="F672">
        <v>0</v>
      </c>
      <c r="G672">
        <v>0</v>
      </c>
      <c r="H672">
        <v>0</v>
      </c>
      <c r="I672">
        <v>0</v>
      </c>
      <c r="J672">
        <v>0</v>
      </c>
      <c r="K672">
        <v>0</v>
      </c>
      <c r="L672">
        <v>0</v>
      </c>
      <c r="M672">
        <v>4</v>
      </c>
      <c r="P672" s="3"/>
    </row>
    <row r="673" spans="1:16" x14ac:dyDescent="0.3">
      <c r="A673" t="s">
        <v>131</v>
      </c>
      <c r="B673" t="s">
        <v>716</v>
      </c>
      <c r="C673">
        <v>0</v>
      </c>
      <c r="D673">
        <v>0</v>
      </c>
      <c r="E673">
        <v>0</v>
      </c>
      <c r="F673">
        <v>0</v>
      </c>
      <c r="G673">
        <v>0</v>
      </c>
      <c r="H673">
        <v>0</v>
      </c>
      <c r="I673">
        <v>0</v>
      </c>
      <c r="J673">
        <v>0</v>
      </c>
      <c r="K673">
        <v>244</v>
      </c>
      <c r="L673">
        <v>15</v>
      </c>
      <c r="M673">
        <v>259</v>
      </c>
      <c r="P673" s="4"/>
    </row>
    <row r="674" spans="1:16" x14ac:dyDescent="0.3">
      <c r="A674" t="s">
        <v>133</v>
      </c>
      <c r="B674" t="s">
        <v>717</v>
      </c>
      <c r="C674">
        <v>0</v>
      </c>
      <c r="D674">
        <v>0</v>
      </c>
      <c r="E674">
        <v>0</v>
      </c>
      <c r="F674">
        <v>0</v>
      </c>
      <c r="G674">
        <v>0</v>
      </c>
      <c r="H674">
        <v>0</v>
      </c>
      <c r="I674">
        <v>0</v>
      </c>
      <c r="J674">
        <v>18</v>
      </c>
      <c r="K674">
        <v>540</v>
      </c>
      <c r="L674">
        <v>218</v>
      </c>
      <c r="M674">
        <v>776</v>
      </c>
      <c r="P674" s="3"/>
    </row>
    <row r="675" spans="1:16" x14ac:dyDescent="0.3">
      <c r="A675" t="s">
        <v>131</v>
      </c>
      <c r="B675" t="s">
        <v>718</v>
      </c>
      <c r="C675">
        <v>0</v>
      </c>
      <c r="D675">
        <v>0</v>
      </c>
      <c r="E675">
        <v>1</v>
      </c>
      <c r="F675">
        <v>0</v>
      </c>
      <c r="G675">
        <v>0</v>
      </c>
      <c r="H675">
        <v>0</v>
      </c>
      <c r="I675">
        <v>0</v>
      </c>
      <c r="J675">
        <v>0</v>
      </c>
      <c r="K675">
        <v>0</v>
      </c>
      <c r="L675">
        <v>0</v>
      </c>
      <c r="M675">
        <v>1</v>
      </c>
      <c r="P675" s="4"/>
    </row>
    <row r="676" spans="1:16" x14ac:dyDescent="0.3">
      <c r="A676" t="s">
        <v>136</v>
      </c>
      <c r="B676" t="s">
        <v>719</v>
      </c>
      <c r="C676">
        <v>6</v>
      </c>
      <c r="D676">
        <v>1</v>
      </c>
      <c r="E676">
        <v>1</v>
      </c>
      <c r="F676">
        <v>0</v>
      </c>
      <c r="G676">
        <v>0</v>
      </c>
      <c r="H676">
        <v>0</v>
      </c>
      <c r="I676">
        <v>0</v>
      </c>
      <c r="J676">
        <v>0</v>
      </c>
      <c r="K676">
        <v>0</v>
      </c>
      <c r="L676">
        <v>0</v>
      </c>
      <c r="M676">
        <v>8</v>
      </c>
      <c r="P676" s="3"/>
    </row>
    <row r="677" spans="1:16" x14ac:dyDescent="0.3">
      <c r="A677" t="s">
        <v>131</v>
      </c>
      <c r="B677" t="s">
        <v>720</v>
      </c>
      <c r="C677">
        <v>0</v>
      </c>
      <c r="D677">
        <v>0</v>
      </c>
      <c r="E677">
        <v>0</v>
      </c>
      <c r="F677">
        <v>0</v>
      </c>
      <c r="G677">
        <v>0</v>
      </c>
      <c r="H677">
        <v>0</v>
      </c>
      <c r="I677">
        <v>0</v>
      </c>
      <c r="J677">
        <v>0</v>
      </c>
      <c r="K677">
        <v>15</v>
      </c>
      <c r="L677">
        <v>0</v>
      </c>
      <c r="M677">
        <v>15</v>
      </c>
      <c r="P677" s="4"/>
    </row>
    <row r="678" spans="1:16" x14ac:dyDescent="0.3">
      <c r="A678" t="s">
        <v>131</v>
      </c>
      <c r="B678" t="s">
        <v>721</v>
      </c>
      <c r="C678">
        <v>0</v>
      </c>
      <c r="D678">
        <v>0</v>
      </c>
      <c r="E678">
        <v>0</v>
      </c>
      <c r="F678">
        <v>0</v>
      </c>
      <c r="G678">
        <v>24</v>
      </c>
      <c r="H678">
        <v>14</v>
      </c>
      <c r="I678">
        <v>33</v>
      </c>
      <c r="J678">
        <v>85</v>
      </c>
      <c r="K678">
        <v>240</v>
      </c>
      <c r="L678">
        <v>168</v>
      </c>
      <c r="M678">
        <v>564</v>
      </c>
      <c r="P678" s="3"/>
    </row>
    <row r="679" spans="1:16" x14ac:dyDescent="0.3">
      <c r="A679" t="s">
        <v>131</v>
      </c>
      <c r="B679" t="s">
        <v>722</v>
      </c>
      <c r="C679">
        <v>0</v>
      </c>
      <c r="D679">
        <v>0</v>
      </c>
      <c r="E679">
        <v>0</v>
      </c>
      <c r="F679">
        <v>0</v>
      </c>
      <c r="G679">
        <v>13</v>
      </c>
      <c r="H679">
        <v>0</v>
      </c>
      <c r="I679">
        <v>3</v>
      </c>
      <c r="J679">
        <v>9</v>
      </c>
      <c r="K679">
        <v>0</v>
      </c>
      <c r="L679">
        <v>10</v>
      </c>
      <c r="M679">
        <v>35</v>
      </c>
      <c r="P679" s="4"/>
    </row>
    <row r="680" spans="1:16" x14ac:dyDescent="0.3">
      <c r="A680" t="s">
        <v>131</v>
      </c>
      <c r="B680" t="s">
        <v>723</v>
      </c>
      <c r="C680">
        <v>0</v>
      </c>
      <c r="D680">
        <v>0</v>
      </c>
      <c r="E680">
        <v>0</v>
      </c>
      <c r="F680">
        <v>0</v>
      </c>
      <c r="G680">
        <v>0</v>
      </c>
      <c r="H680">
        <v>0</v>
      </c>
      <c r="I680">
        <v>0</v>
      </c>
      <c r="J680">
        <v>0</v>
      </c>
      <c r="K680">
        <v>0</v>
      </c>
      <c r="L680">
        <v>45</v>
      </c>
      <c r="M680">
        <v>45</v>
      </c>
      <c r="P680" s="3"/>
    </row>
    <row r="681" spans="1:16" x14ac:dyDescent="0.3">
      <c r="A681" t="s">
        <v>131</v>
      </c>
      <c r="B681" t="s">
        <v>724</v>
      </c>
      <c r="C681">
        <v>0</v>
      </c>
      <c r="D681">
        <v>0</v>
      </c>
      <c r="E681">
        <v>0</v>
      </c>
      <c r="F681">
        <v>2</v>
      </c>
      <c r="G681">
        <v>2</v>
      </c>
      <c r="H681">
        <v>0</v>
      </c>
      <c r="I681">
        <v>0</v>
      </c>
      <c r="J681">
        <v>0</v>
      </c>
      <c r="K681">
        <v>0</v>
      </c>
      <c r="L681">
        <v>0</v>
      </c>
      <c r="M681">
        <v>4</v>
      </c>
      <c r="P681" s="4"/>
    </row>
    <row r="682" spans="1:16" x14ac:dyDescent="0.3">
      <c r="A682" t="s">
        <v>131</v>
      </c>
      <c r="B682" t="s">
        <v>725</v>
      </c>
      <c r="C682">
        <v>0</v>
      </c>
      <c r="D682">
        <v>0</v>
      </c>
      <c r="E682">
        <v>60</v>
      </c>
      <c r="F682">
        <v>0</v>
      </c>
      <c r="G682">
        <v>1</v>
      </c>
      <c r="H682">
        <v>1</v>
      </c>
      <c r="I682">
        <v>0</v>
      </c>
      <c r="J682">
        <v>0</v>
      </c>
      <c r="K682">
        <v>1</v>
      </c>
      <c r="L682">
        <v>0</v>
      </c>
      <c r="M682">
        <v>63</v>
      </c>
      <c r="P682" s="3"/>
    </row>
    <row r="683" spans="1:16" x14ac:dyDescent="0.3">
      <c r="A683" t="s">
        <v>131</v>
      </c>
      <c r="B683" t="s">
        <v>726</v>
      </c>
      <c r="C683">
        <v>0</v>
      </c>
      <c r="D683">
        <v>0</v>
      </c>
      <c r="E683">
        <v>0</v>
      </c>
      <c r="F683">
        <v>144</v>
      </c>
      <c r="G683">
        <v>302</v>
      </c>
      <c r="H683">
        <v>153</v>
      </c>
      <c r="I683">
        <v>301</v>
      </c>
      <c r="J683">
        <v>396</v>
      </c>
      <c r="K683">
        <v>358</v>
      </c>
      <c r="L683">
        <v>264</v>
      </c>
      <c r="M683">
        <v>1918</v>
      </c>
      <c r="P683" s="4"/>
    </row>
    <row r="684" spans="1:16" x14ac:dyDescent="0.3">
      <c r="A684" t="s">
        <v>136</v>
      </c>
      <c r="B684" t="s">
        <v>726</v>
      </c>
      <c r="C684">
        <v>0</v>
      </c>
      <c r="D684">
        <v>0</v>
      </c>
      <c r="E684">
        <v>0</v>
      </c>
      <c r="F684">
        <v>0</v>
      </c>
      <c r="G684">
        <v>1</v>
      </c>
      <c r="H684">
        <v>0</v>
      </c>
      <c r="I684">
        <v>0</v>
      </c>
      <c r="J684">
        <v>0</v>
      </c>
      <c r="K684">
        <v>0</v>
      </c>
      <c r="L684">
        <v>0</v>
      </c>
      <c r="M684">
        <v>1</v>
      </c>
      <c r="P684" s="3"/>
    </row>
    <row r="685" spans="1:16" x14ac:dyDescent="0.3">
      <c r="A685" t="s">
        <v>131</v>
      </c>
      <c r="B685" t="s">
        <v>727</v>
      </c>
      <c r="C685">
        <v>0</v>
      </c>
      <c r="D685">
        <v>0</v>
      </c>
      <c r="E685">
        <v>0</v>
      </c>
      <c r="F685">
        <v>16</v>
      </c>
      <c r="G685">
        <v>35</v>
      </c>
      <c r="H685">
        <v>11</v>
      </c>
      <c r="I685">
        <v>18</v>
      </c>
      <c r="J685">
        <v>7</v>
      </c>
      <c r="K685">
        <v>0</v>
      </c>
      <c r="L685">
        <v>0</v>
      </c>
      <c r="M685">
        <v>87</v>
      </c>
      <c r="P685" s="4"/>
    </row>
    <row r="686" spans="1:16" x14ac:dyDescent="0.3">
      <c r="A686" t="s">
        <v>133</v>
      </c>
      <c r="B686" t="s">
        <v>728</v>
      </c>
      <c r="C686">
        <v>0</v>
      </c>
      <c r="D686">
        <v>0</v>
      </c>
      <c r="E686">
        <v>0</v>
      </c>
      <c r="F686">
        <v>0</v>
      </c>
      <c r="G686">
        <v>0</v>
      </c>
      <c r="H686">
        <v>0</v>
      </c>
      <c r="I686">
        <v>0</v>
      </c>
      <c r="J686">
        <v>2350</v>
      </c>
      <c r="K686">
        <v>6203</v>
      </c>
      <c r="L686">
        <v>2661</v>
      </c>
      <c r="M686">
        <v>11214</v>
      </c>
      <c r="P686" s="3"/>
    </row>
    <row r="687" spans="1:16" x14ac:dyDescent="0.3">
      <c r="A687" t="s">
        <v>131</v>
      </c>
      <c r="B687" t="s">
        <v>728</v>
      </c>
      <c r="C687">
        <v>0</v>
      </c>
      <c r="D687">
        <v>0</v>
      </c>
      <c r="E687">
        <v>0</v>
      </c>
      <c r="F687">
        <v>0</v>
      </c>
      <c r="G687">
        <v>0</v>
      </c>
      <c r="H687">
        <v>7</v>
      </c>
      <c r="I687">
        <v>876</v>
      </c>
      <c r="J687">
        <v>4646</v>
      </c>
      <c r="K687">
        <v>7288</v>
      </c>
      <c r="L687">
        <v>3785</v>
      </c>
      <c r="M687">
        <v>16602</v>
      </c>
      <c r="P687" s="4"/>
    </row>
    <row r="688" spans="1:16" x14ac:dyDescent="0.3">
      <c r="A688" t="s">
        <v>136</v>
      </c>
      <c r="B688" t="s">
        <v>728</v>
      </c>
      <c r="C688">
        <v>0</v>
      </c>
      <c r="D688">
        <v>0</v>
      </c>
      <c r="E688">
        <v>0</v>
      </c>
      <c r="F688">
        <v>0</v>
      </c>
      <c r="G688">
        <v>0</v>
      </c>
      <c r="H688">
        <v>0</v>
      </c>
      <c r="I688">
        <v>0</v>
      </c>
      <c r="J688">
        <v>0</v>
      </c>
      <c r="K688">
        <v>4</v>
      </c>
      <c r="L688">
        <v>1</v>
      </c>
      <c r="M688">
        <v>5</v>
      </c>
      <c r="P688" s="3"/>
    </row>
    <row r="689" spans="1:16" x14ac:dyDescent="0.3">
      <c r="A689" t="s">
        <v>131</v>
      </c>
      <c r="B689" t="s">
        <v>729</v>
      </c>
      <c r="C689">
        <v>0</v>
      </c>
      <c r="D689">
        <v>0</v>
      </c>
      <c r="E689">
        <v>0</v>
      </c>
      <c r="F689">
        <v>0</v>
      </c>
      <c r="G689">
        <v>0</v>
      </c>
      <c r="H689">
        <v>0</v>
      </c>
      <c r="I689">
        <v>0</v>
      </c>
      <c r="J689">
        <v>0</v>
      </c>
      <c r="K689">
        <v>13</v>
      </c>
      <c r="L689">
        <v>4</v>
      </c>
      <c r="M689">
        <v>17</v>
      </c>
      <c r="P689" s="4"/>
    </row>
    <row r="690" spans="1:16" x14ac:dyDescent="0.3">
      <c r="A690" t="s">
        <v>133</v>
      </c>
      <c r="B690" t="s">
        <v>730</v>
      </c>
      <c r="C690">
        <v>0</v>
      </c>
      <c r="D690">
        <v>0</v>
      </c>
      <c r="E690">
        <v>0</v>
      </c>
      <c r="F690">
        <v>0</v>
      </c>
      <c r="G690">
        <v>0</v>
      </c>
      <c r="H690">
        <v>40</v>
      </c>
      <c r="I690">
        <v>5</v>
      </c>
      <c r="J690">
        <v>0</v>
      </c>
      <c r="K690">
        <v>5</v>
      </c>
      <c r="L690">
        <v>0</v>
      </c>
      <c r="M690">
        <v>50</v>
      </c>
      <c r="P690" s="3"/>
    </row>
    <row r="691" spans="1:16" x14ac:dyDescent="0.3">
      <c r="A691" t="s">
        <v>133</v>
      </c>
      <c r="B691" t="s">
        <v>731</v>
      </c>
      <c r="C691">
        <v>0</v>
      </c>
      <c r="D691">
        <v>0</v>
      </c>
      <c r="E691">
        <v>0</v>
      </c>
      <c r="F691">
        <v>0</v>
      </c>
      <c r="G691">
        <v>0</v>
      </c>
      <c r="H691">
        <v>0</v>
      </c>
      <c r="I691">
        <v>0</v>
      </c>
      <c r="J691">
        <v>0</v>
      </c>
      <c r="K691">
        <v>0</v>
      </c>
      <c r="L691">
        <v>2</v>
      </c>
      <c r="M691">
        <v>2</v>
      </c>
      <c r="P691" s="4"/>
    </row>
    <row r="692" spans="1:16" x14ac:dyDescent="0.3">
      <c r="A692" t="s">
        <v>131</v>
      </c>
      <c r="B692" t="s">
        <v>732</v>
      </c>
      <c r="C692">
        <v>0</v>
      </c>
      <c r="D692">
        <v>0</v>
      </c>
      <c r="E692">
        <v>0</v>
      </c>
      <c r="F692">
        <v>0</v>
      </c>
      <c r="G692">
        <v>0</v>
      </c>
      <c r="H692">
        <v>0</v>
      </c>
      <c r="I692">
        <v>0</v>
      </c>
      <c r="J692">
        <v>0</v>
      </c>
      <c r="K692">
        <v>0</v>
      </c>
      <c r="L692">
        <v>194</v>
      </c>
      <c r="M692">
        <v>194</v>
      </c>
      <c r="P692" s="3"/>
    </row>
    <row r="693" spans="1:16" x14ac:dyDescent="0.3">
      <c r="A693" t="s">
        <v>136</v>
      </c>
      <c r="B693" t="s">
        <v>733</v>
      </c>
      <c r="C693">
        <v>0</v>
      </c>
      <c r="D693">
        <v>0</v>
      </c>
      <c r="E693">
        <v>0</v>
      </c>
      <c r="F693">
        <v>0</v>
      </c>
      <c r="G693">
        <v>1</v>
      </c>
      <c r="H693">
        <v>0</v>
      </c>
      <c r="I693">
        <v>0</v>
      </c>
      <c r="J693">
        <v>9</v>
      </c>
      <c r="K693">
        <v>0</v>
      </c>
      <c r="L693">
        <v>0</v>
      </c>
      <c r="M693">
        <v>10</v>
      </c>
      <c r="P693" s="4"/>
    </row>
    <row r="694" spans="1:16" x14ac:dyDescent="0.3">
      <c r="A694" t="s">
        <v>181</v>
      </c>
      <c r="B694" t="s">
        <v>733</v>
      </c>
      <c r="C694">
        <v>0</v>
      </c>
      <c r="D694">
        <v>0</v>
      </c>
      <c r="E694">
        <v>0</v>
      </c>
      <c r="F694">
        <v>1</v>
      </c>
      <c r="G694">
        <v>0</v>
      </c>
      <c r="H694">
        <v>0</v>
      </c>
      <c r="I694">
        <v>0</v>
      </c>
      <c r="J694">
        <v>0</v>
      </c>
      <c r="K694">
        <v>0</v>
      </c>
      <c r="L694">
        <v>0</v>
      </c>
      <c r="M694">
        <v>1</v>
      </c>
      <c r="P694" s="3"/>
    </row>
    <row r="695" spans="1:16" x14ac:dyDescent="0.3">
      <c r="A695" t="s">
        <v>133</v>
      </c>
      <c r="B695" t="s">
        <v>734</v>
      </c>
      <c r="C695">
        <v>0</v>
      </c>
      <c r="D695">
        <v>0</v>
      </c>
      <c r="E695">
        <v>10</v>
      </c>
      <c r="F695">
        <v>0</v>
      </c>
      <c r="G695">
        <v>0</v>
      </c>
      <c r="H695">
        <v>0</v>
      </c>
      <c r="I695">
        <v>0</v>
      </c>
      <c r="J695">
        <v>0</v>
      </c>
      <c r="K695">
        <v>0</v>
      </c>
      <c r="L695">
        <v>0</v>
      </c>
      <c r="M695">
        <v>10</v>
      </c>
      <c r="P695" s="4"/>
    </row>
    <row r="696" spans="1:16" x14ac:dyDescent="0.3">
      <c r="A696" t="s">
        <v>131</v>
      </c>
      <c r="B696" t="s">
        <v>734</v>
      </c>
      <c r="C696">
        <v>0</v>
      </c>
      <c r="D696">
        <v>22</v>
      </c>
      <c r="E696">
        <v>38</v>
      </c>
      <c r="F696">
        <v>3</v>
      </c>
      <c r="G696">
        <v>0</v>
      </c>
      <c r="H696">
        <v>0</v>
      </c>
      <c r="I696">
        <v>0</v>
      </c>
      <c r="J696">
        <v>0</v>
      </c>
      <c r="K696">
        <v>0</v>
      </c>
      <c r="L696">
        <v>0</v>
      </c>
      <c r="M696">
        <v>63</v>
      </c>
      <c r="P696" s="3"/>
    </row>
    <row r="697" spans="1:16" x14ac:dyDescent="0.3">
      <c r="A697" t="s">
        <v>136</v>
      </c>
      <c r="B697" t="s">
        <v>735</v>
      </c>
      <c r="C697">
        <v>2</v>
      </c>
      <c r="D697">
        <v>0</v>
      </c>
      <c r="E697">
        <v>1</v>
      </c>
      <c r="F697">
        <v>0</v>
      </c>
      <c r="G697">
        <v>0</v>
      </c>
      <c r="H697">
        <v>0</v>
      </c>
      <c r="I697">
        <v>0</v>
      </c>
      <c r="J697">
        <v>0</v>
      </c>
      <c r="K697">
        <v>0</v>
      </c>
      <c r="L697">
        <v>0</v>
      </c>
      <c r="M697">
        <v>3</v>
      </c>
      <c r="P697" s="4"/>
    </row>
    <row r="698" spans="1:16" x14ac:dyDescent="0.3">
      <c r="A698" t="s">
        <v>131</v>
      </c>
      <c r="B698" t="s">
        <v>736</v>
      </c>
      <c r="C698">
        <v>0</v>
      </c>
      <c r="D698">
        <v>0</v>
      </c>
      <c r="E698">
        <v>0</v>
      </c>
      <c r="F698">
        <v>0</v>
      </c>
      <c r="G698">
        <v>0</v>
      </c>
      <c r="H698">
        <v>0</v>
      </c>
      <c r="I698">
        <v>0</v>
      </c>
      <c r="J698">
        <v>0</v>
      </c>
      <c r="K698">
        <v>11</v>
      </c>
      <c r="L698">
        <v>0</v>
      </c>
      <c r="M698">
        <v>11</v>
      </c>
      <c r="P698" s="3"/>
    </row>
    <row r="699" spans="1:16" x14ac:dyDescent="0.3">
      <c r="A699" t="s">
        <v>136</v>
      </c>
      <c r="B699" t="s">
        <v>736</v>
      </c>
      <c r="C699">
        <v>0</v>
      </c>
      <c r="D699">
        <v>0</v>
      </c>
      <c r="E699">
        <v>0</v>
      </c>
      <c r="F699">
        <v>0</v>
      </c>
      <c r="G699">
        <v>0</v>
      </c>
      <c r="H699">
        <v>0</v>
      </c>
      <c r="I699">
        <v>1</v>
      </c>
      <c r="J699">
        <v>0</v>
      </c>
      <c r="K699">
        <v>0</v>
      </c>
      <c r="L699">
        <v>0</v>
      </c>
      <c r="M699">
        <v>1</v>
      </c>
      <c r="P699" s="4"/>
    </row>
    <row r="700" spans="1:16" x14ac:dyDescent="0.3">
      <c r="A700" t="s">
        <v>133</v>
      </c>
      <c r="B700" t="s">
        <v>737</v>
      </c>
      <c r="C700">
        <v>0</v>
      </c>
      <c r="D700">
        <v>0</v>
      </c>
      <c r="E700">
        <v>0</v>
      </c>
      <c r="F700">
        <v>0</v>
      </c>
      <c r="G700">
        <v>0</v>
      </c>
      <c r="H700">
        <v>0</v>
      </c>
      <c r="I700">
        <v>21</v>
      </c>
      <c r="J700">
        <v>0</v>
      </c>
      <c r="K700">
        <v>0</v>
      </c>
      <c r="L700">
        <v>0</v>
      </c>
      <c r="M700">
        <v>21</v>
      </c>
      <c r="P700" s="3"/>
    </row>
    <row r="701" spans="1:16" x14ac:dyDescent="0.3">
      <c r="A701" t="s">
        <v>133</v>
      </c>
      <c r="B701" t="s">
        <v>738</v>
      </c>
      <c r="C701">
        <v>0</v>
      </c>
      <c r="D701">
        <v>0</v>
      </c>
      <c r="E701">
        <v>1</v>
      </c>
      <c r="F701">
        <v>0</v>
      </c>
      <c r="G701">
        <v>0</v>
      </c>
      <c r="H701">
        <v>0</v>
      </c>
      <c r="I701">
        <v>0</v>
      </c>
      <c r="J701">
        <v>0</v>
      </c>
      <c r="K701">
        <v>0</v>
      </c>
      <c r="L701">
        <v>0</v>
      </c>
      <c r="M701">
        <v>1</v>
      </c>
      <c r="P701" s="4"/>
    </row>
    <row r="702" spans="1:16" x14ac:dyDescent="0.3">
      <c r="A702" t="s">
        <v>131</v>
      </c>
      <c r="B702" t="s">
        <v>738</v>
      </c>
      <c r="C702">
        <v>5</v>
      </c>
      <c r="D702">
        <v>133</v>
      </c>
      <c r="E702">
        <v>184</v>
      </c>
      <c r="F702">
        <v>666</v>
      </c>
      <c r="G702">
        <v>714</v>
      </c>
      <c r="H702">
        <v>377</v>
      </c>
      <c r="I702">
        <v>511</v>
      </c>
      <c r="J702">
        <v>1523</v>
      </c>
      <c r="K702">
        <v>1644</v>
      </c>
      <c r="L702">
        <v>770</v>
      </c>
      <c r="M702">
        <v>6527</v>
      </c>
      <c r="P702" s="3"/>
    </row>
    <row r="703" spans="1:16" x14ac:dyDescent="0.3">
      <c r="A703" t="s">
        <v>136</v>
      </c>
      <c r="B703" t="s">
        <v>738</v>
      </c>
      <c r="C703">
        <v>0</v>
      </c>
      <c r="D703">
        <v>0</v>
      </c>
      <c r="E703">
        <v>0</v>
      </c>
      <c r="F703">
        <v>5</v>
      </c>
      <c r="G703">
        <v>0</v>
      </c>
      <c r="H703">
        <v>0</v>
      </c>
      <c r="I703">
        <v>0</v>
      </c>
      <c r="J703">
        <v>0</v>
      </c>
      <c r="K703">
        <v>0</v>
      </c>
      <c r="L703">
        <v>0</v>
      </c>
      <c r="M703">
        <v>5</v>
      </c>
      <c r="P703" s="4"/>
    </row>
    <row r="704" spans="1:16" x14ac:dyDescent="0.3">
      <c r="A704" t="s">
        <v>131</v>
      </c>
      <c r="B704" t="s">
        <v>739</v>
      </c>
      <c r="C704">
        <v>0</v>
      </c>
      <c r="D704">
        <v>400</v>
      </c>
      <c r="E704">
        <v>420</v>
      </c>
      <c r="F704">
        <v>165</v>
      </c>
      <c r="G704">
        <v>94</v>
      </c>
      <c r="H704">
        <v>54</v>
      </c>
      <c r="I704">
        <v>30</v>
      </c>
      <c r="J704">
        <v>185</v>
      </c>
      <c r="K704">
        <v>20</v>
      </c>
      <c r="L704">
        <v>0</v>
      </c>
      <c r="M704">
        <v>1368</v>
      </c>
      <c r="P704" s="3"/>
    </row>
    <row r="705" spans="1:16" x14ac:dyDescent="0.3">
      <c r="A705" t="s">
        <v>131</v>
      </c>
      <c r="B705" t="s">
        <v>740</v>
      </c>
      <c r="C705">
        <v>0</v>
      </c>
      <c r="D705">
        <v>0</v>
      </c>
      <c r="E705">
        <v>0</v>
      </c>
      <c r="F705">
        <v>0</v>
      </c>
      <c r="G705">
        <v>0</v>
      </c>
      <c r="H705">
        <v>3</v>
      </c>
      <c r="I705">
        <v>65</v>
      </c>
      <c r="J705">
        <v>114</v>
      </c>
      <c r="K705">
        <v>186</v>
      </c>
      <c r="L705">
        <v>50</v>
      </c>
      <c r="M705">
        <v>418</v>
      </c>
      <c r="P705" s="4"/>
    </row>
    <row r="706" spans="1:16" x14ac:dyDescent="0.3">
      <c r="A706" t="s">
        <v>131</v>
      </c>
      <c r="B706" t="s">
        <v>741</v>
      </c>
      <c r="C706">
        <v>0</v>
      </c>
      <c r="D706">
        <v>441</v>
      </c>
      <c r="E706">
        <v>4</v>
      </c>
      <c r="F706">
        <v>3</v>
      </c>
      <c r="G706">
        <v>0</v>
      </c>
      <c r="H706">
        <v>0</v>
      </c>
      <c r="I706">
        <v>0</v>
      </c>
      <c r="J706">
        <v>0</v>
      </c>
      <c r="K706">
        <v>0</v>
      </c>
      <c r="L706">
        <v>0</v>
      </c>
      <c r="M706">
        <v>448</v>
      </c>
      <c r="P706" s="3"/>
    </row>
    <row r="707" spans="1:16" x14ac:dyDescent="0.3">
      <c r="A707" t="s">
        <v>131</v>
      </c>
      <c r="B707" t="s">
        <v>742</v>
      </c>
      <c r="C707">
        <v>0</v>
      </c>
      <c r="D707">
        <v>0</v>
      </c>
      <c r="E707">
        <v>8</v>
      </c>
      <c r="F707">
        <v>1</v>
      </c>
      <c r="G707">
        <v>0</v>
      </c>
      <c r="H707">
        <v>0</v>
      </c>
      <c r="I707">
        <v>0</v>
      </c>
      <c r="J707">
        <v>0</v>
      </c>
      <c r="K707">
        <v>0</v>
      </c>
      <c r="L707">
        <v>0</v>
      </c>
      <c r="M707">
        <v>9</v>
      </c>
      <c r="P707" s="4"/>
    </row>
    <row r="708" spans="1:16" x14ac:dyDescent="0.3">
      <c r="A708" t="s">
        <v>131</v>
      </c>
      <c r="B708" t="s">
        <v>743</v>
      </c>
      <c r="C708">
        <v>0</v>
      </c>
      <c r="D708">
        <v>0</v>
      </c>
      <c r="E708">
        <v>0</v>
      </c>
      <c r="F708">
        <v>0</v>
      </c>
      <c r="G708">
        <v>0</v>
      </c>
      <c r="H708">
        <v>0</v>
      </c>
      <c r="I708">
        <v>0</v>
      </c>
      <c r="J708">
        <v>0</v>
      </c>
      <c r="K708">
        <v>38</v>
      </c>
      <c r="L708">
        <v>88</v>
      </c>
      <c r="M708">
        <v>126</v>
      </c>
      <c r="P708" s="3"/>
    </row>
    <row r="709" spans="1:16" x14ac:dyDescent="0.3">
      <c r="A709" t="s">
        <v>131</v>
      </c>
      <c r="B709" t="s">
        <v>744</v>
      </c>
      <c r="C709">
        <v>0</v>
      </c>
      <c r="D709">
        <v>0</v>
      </c>
      <c r="E709">
        <v>0</v>
      </c>
      <c r="F709">
        <v>11</v>
      </c>
      <c r="G709">
        <v>65</v>
      </c>
      <c r="H709">
        <v>41</v>
      </c>
      <c r="I709">
        <v>5</v>
      </c>
      <c r="J709">
        <v>64</v>
      </c>
      <c r="K709">
        <v>145</v>
      </c>
      <c r="L709">
        <v>53</v>
      </c>
      <c r="M709">
        <v>384</v>
      </c>
      <c r="P709" s="4"/>
    </row>
    <row r="710" spans="1:16" x14ac:dyDescent="0.3">
      <c r="A710" t="s">
        <v>136</v>
      </c>
      <c r="B710" t="s">
        <v>744</v>
      </c>
      <c r="C710">
        <v>0</v>
      </c>
      <c r="D710">
        <v>0</v>
      </c>
      <c r="E710">
        <v>0</v>
      </c>
      <c r="F710">
        <v>0</v>
      </c>
      <c r="G710">
        <v>1</v>
      </c>
      <c r="H710">
        <v>0</v>
      </c>
      <c r="I710">
        <v>0</v>
      </c>
      <c r="J710">
        <v>0</v>
      </c>
      <c r="K710">
        <v>0</v>
      </c>
      <c r="L710">
        <v>0</v>
      </c>
      <c r="M710">
        <v>1</v>
      </c>
      <c r="P710" s="3"/>
    </row>
    <row r="711" spans="1:16" x14ac:dyDescent="0.3">
      <c r="A711" t="s">
        <v>131</v>
      </c>
      <c r="B711" t="s">
        <v>745</v>
      </c>
      <c r="C711">
        <v>0</v>
      </c>
      <c r="D711">
        <v>0</v>
      </c>
      <c r="E711">
        <v>0</v>
      </c>
      <c r="F711">
        <v>0</v>
      </c>
      <c r="G711">
        <v>1</v>
      </c>
      <c r="H711">
        <v>2</v>
      </c>
      <c r="I711">
        <v>0</v>
      </c>
      <c r="J711">
        <v>0</v>
      </c>
      <c r="K711">
        <v>2</v>
      </c>
      <c r="L711">
        <v>12</v>
      </c>
      <c r="M711">
        <v>17</v>
      </c>
      <c r="P711" s="4"/>
    </row>
    <row r="712" spans="1:16" x14ac:dyDescent="0.3">
      <c r="A712" t="s">
        <v>131</v>
      </c>
      <c r="B712" t="s">
        <v>746</v>
      </c>
      <c r="C712">
        <v>0</v>
      </c>
      <c r="D712">
        <v>210</v>
      </c>
      <c r="E712">
        <v>169</v>
      </c>
      <c r="F712">
        <v>16</v>
      </c>
      <c r="G712">
        <v>1</v>
      </c>
      <c r="H712">
        <v>0</v>
      </c>
      <c r="I712">
        <v>0</v>
      </c>
      <c r="J712">
        <v>0</v>
      </c>
      <c r="K712">
        <v>0</v>
      </c>
      <c r="L712">
        <v>0</v>
      </c>
      <c r="M712">
        <v>396</v>
      </c>
      <c r="P712" s="3"/>
    </row>
    <row r="713" spans="1:16" x14ac:dyDescent="0.3">
      <c r="A713" t="s">
        <v>136</v>
      </c>
      <c r="B713" t="s">
        <v>747</v>
      </c>
      <c r="C713">
        <v>0</v>
      </c>
      <c r="D713">
        <v>2</v>
      </c>
      <c r="E713">
        <v>0</v>
      </c>
      <c r="F713">
        <v>0</v>
      </c>
      <c r="G713">
        <v>0</v>
      </c>
      <c r="H713">
        <v>0</v>
      </c>
      <c r="I713">
        <v>0</v>
      </c>
      <c r="J713">
        <v>0</v>
      </c>
      <c r="K713">
        <v>0</v>
      </c>
      <c r="L713">
        <v>0</v>
      </c>
      <c r="M713">
        <v>2</v>
      </c>
      <c r="P713" s="4"/>
    </row>
    <row r="714" spans="1:16" x14ac:dyDescent="0.3">
      <c r="A714" t="s">
        <v>131</v>
      </c>
      <c r="B714" t="s">
        <v>748</v>
      </c>
      <c r="C714">
        <v>0</v>
      </c>
      <c r="D714">
        <v>131</v>
      </c>
      <c r="E714">
        <v>408</v>
      </c>
      <c r="F714">
        <v>487</v>
      </c>
      <c r="G714">
        <v>210</v>
      </c>
      <c r="H714">
        <v>194</v>
      </c>
      <c r="I714">
        <v>305</v>
      </c>
      <c r="J714">
        <v>477</v>
      </c>
      <c r="K714">
        <v>1097</v>
      </c>
      <c r="L714">
        <v>657</v>
      </c>
      <c r="M714">
        <v>3966</v>
      </c>
      <c r="P714" s="3"/>
    </row>
    <row r="715" spans="1:16" x14ac:dyDescent="0.3">
      <c r="A715" t="s">
        <v>136</v>
      </c>
      <c r="B715" t="s">
        <v>748</v>
      </c>
      <c r="C715">
        <v>0</v>
      </c>
      <c r="D715">
        <v>0</v>
      </c>
      <c r="E715">
        <v>0</v>
      </c>
      <c r="F715">
        <v>0</v>
      </c>
      <c r="G715">
        <v>0</v>
      </c>
      <c r="H715">
        <v>0</v>
      </c>
      <c r="I715">
        <v>1</v>
      </c>
      <c r="J715">
        <v>0</v>
      </c>
      <c r="K715">
        <v>0</v>
      </c>
      <c r="L715">
        <v>0</v>
      </c>
      <c r="M715">
        <v>1</v>
      </c>
      <c r="P715" s="4"/>
    </row>
    <row r="716" spans="1:16" x14ac:dyDescent="0.3">
      <c r="A716" t="s">
        <v>131</v>
      </c>
      <c r="B716" t="s">
        <v>749</v>
      </c>
      <c r="C716">
        <v>877</v>
      </c>
      <c r="D716">
        <v>3089</v>
      </c>
      <c r="E716">
        <v>386</v>
      </c>
      <c r="F716">
        <v>66</v>
      </c>
      <c r="G716">
        <v>0</v>
      </c>
      <c r="H716">
        <v>2</v>
      </c>
      <c r="I716">
        <v>0</v>
      </c>
      <c r="J716">
        <v>0</v>
      </c>
      <c r="K716">
        <v>0</v>
      </c>
      <c r="L716">
        <v>0</v>
      </c>
      <c r="M716">
        <v>4420</v>
      </c>
      <c r="P716" s="3"/>
    </row>
    <row r="717" spans="1:16" x14ac:dyDescent="0.3">
      <c r="A717" t="s">
        <v>136</v>
      </c>
      <c r="B717" t="s">
        <v>749</v>
      </c>
      <c r="C717">
        <v>0</v>
      </c>
      <c r="D717">
        <v>2</v>
      </c>
      <c r="E717">
        <v>2</v>
      </c>
      <c r="F717">
        <v>11</v>
      </c>
      <c r="G717">
        <v>0</v>
      </c>
      <c r="H717">
        <v>0</v>
      </c>
      <c r="I717">
        <v>0</v>
      </c>
      <c r="J717">
        <v>0</v>
      </c>
      <c r="K717">
        <v>0</v>
      </c>
      <c r="L717">
        <v>0</v>
      </c>
      <c r="M717">
        <v>15</v>
      </c>
      <c r="P717" s="4"/>
    </row>
    <row r="718" spans="1:16" x14ac:dyDescent="0.3">
      <c r="A718" t="s">
        <v>131</v>
      </c>
      <c r="B718" t="s">
        <v>750</v>
      </c>
      <c r="C718">
        <v>0</v>
      </c>
      <c r="D718">
        <v>84</v>
      </c>
      <c r="E718">
        <v>420</v>
      </c>
      <c r="F718">
        <v>45</v>
      </c>
      <c r="G718">
        <v>0</v>
      </c>
      <c r="H718">
        <v>0</v>
      </c>
      <c r="I718">
        <v>0</v>
      </c>
      <c r="J718">
        <v>0</v>
      </c>
      <c r="K718">
        <v>0</v>
      </c>
      <c r="L718">
        <v>0</v>
      </c>
      <c r="M718">
        <v>549</v>
      </c>
      <c r="P718" s="3"/>
    </row>
    <row r="719" spans="1:16" x14ac:dyDescent="0.3">
      <c r="A719" t="s">
        <v>136</v>
      </c>
      <c r="B719" t="s">
        <v>750</v>
      </c>
      <c r="C719">
        <v>0</v>
      </c>
      <c r="D719">
        <v>0</v>
      </c>
      <c r="E719">
        <v>11</v>
      </c>
      <c r="F719">
        <v>1</v>
      </c>
      <c r="G719">
        <v>0</v>
      </c>
      <c r="H719">
        <v>0</v>
      </c>
      <c r="I719">
        <v>0</v>
      </c>
      <c r="J719">
        <v>0</v>
      </c>
      <c r="K719">
        <v>0</v>
      </c>
      <c r="L719">
        <v>0</v>
      </c>
      <c r="M719">
        <v>12</v>
      </c>
      <c r="P719" s="4"/>
    </row>
    <row r="720" spans="1:16" x14ac:dyDescent="0.3">
      <c r="A720" t="s">
        <v>131</v>
      </c>
      <c r="B720" t="s">
        <v>751</v>
      </c>
      <c r="C720">
        <v>0</v>
      </c>
      <c r="D720">
        <v>0</v>
      </c>
      <c r="E720">
        <v>0</v>
      </c>
      <c r="F720">
        <v>0</v>
      </c>
      <c r="G720">
        <v>0</v>
      </c>
      <c r="H720">
        <v>0</v>
      </c>
      <c r="I720">
        <v>0</v>
      </c>
      <c r="J720">
        <v>17</v>
      </c>
      <c r="K720">
        <v>0</v>
      </c>
      <c r="L720">
        <v>0</v>
      </c>
      <c r="M720">
        <v>17</v>
      </c>
      <c r="P720" s="3"/>
    </row>
    <row r="721" spans="1:16" x14ac:dyDescent="0.3">
      <c r="A721" t="s">
        <v>136</v>
      </c>
      <c r="B721" t="s">
        <v>752</v>
      </c>
      <c r="C721">
        <v>0</v>
      </c>
      <c r="D721">
        <v>0</v>
      </c>
      <c r="E721">
        <v>0</v>
      </c>
      <c r="F721">
        <v>0</v>
      </c>
      <c r="G721">
        <v>0</v>
      </c>
      <c r="H721">
        <v>0</v>
      </c>
      <c r="I721">
        <v>0</v>
      </c>
      <c r="J721">
        <v>0</v>
      </c>
      <c r="K721">
        <v>0</v>
      </c>
      <c r="L721">
        <v>1</v>
      </c>
      <c r="M721">
        <v>1</v>
      </c>
      <c r="P721" s="4"/>
    </row>
    <row r="722" spans="1:16" x14ac:dyDescent="0.3">
      <c r="A722" t="s">
        <v>131</v>
      </c>
      <c r="B722" t="s">
        <v>753</v>
      </c>
      <c r="C722">
        <v>0</v>
      </c>
      <c r="D722">
        <v>626</v>
      </c>
      <c r="E722">
        <v>2227</v>
      </c>
      <c r="F722">
        <v>2250</v>
      </c>
      <c r="G722">
        <v>1614</v>
      </c>
      <c r="H722">
        <v>692</v>
      </c>
      <c r="I722">
        <v>787</v>
      </c>
      <c r="J722">
        <v>2205</v>
      </c>
      <c r="K722">
        <v>3637</v>
      </c>
      <c r="L722">
        <v>1852</v>
      </c>
      <c r="M722">
        <v>15890</v>
      </c>
      <c r="P722" s="3"/>
    </row>
    <row r="723" spans="1:16" x14ac:dyDescent="0.3">
      <c r="A723" t="s">
        <v>136</v>
      </c>
      <c r="B723" t="s">
        <v>753</v>
      </c>
      <c r="C723">
        <v>0</v>
      </c>
      <c r="D723">
        <v>0</v>
      </c>
      <c r="E723">
        <v>1</v>
      </c>
      <c r="F723">
        <v>18</v>
      </c>
      <c r="G723">
        <v>1</v>
      </c>
      <c r="H723">
        <v>0</v>
      </c>
      <c r="I723">
        <v>0</v>
      </c>
      <c r="J723">
        <v>0</v>
      </c>
      <c r="K723">
        <v>0</v>
      </c>
      <c r="L723">
        <v>0</v>
      </c>
      <c r="M723">
        <v>20</v>
      </c>
      <c r="P723" s="4"/>
    </row>
    <row r="724" spans="1:16" x14ac:dyDescent="0.3">
      <c r="A724" t="s">
        <v>131</v>
      </c>
      <c r="B724" t="s">
        <v>754</v>
      </c>
      <c r="C724">
        <v>0</v>
      </c>
      <c r="D724">
        <v>0</v>
      </c>
      <c r="E724">
        <v>3</v>
      </c>
      <c r="F724">
        <v>0</v>
      </c>
      <c r="G724">
        <v>0</v>
      </c>
      <c r="H724">
        <v>0</v>
      </c>
      <c r="I724">
        <v>0</v>
      </c>
      <c r="J724">
        <v>2</v>
      </c>
      <c r="K724">
        <v>0</v>
      </c>
      <c r="L724">
        <v>0</v>
      </c>
      <c r="M724">
        <v>5</v>
      </c>
      <c r="P724" s="3"/>
    </row>
    <row r="725" spans="1:16" x14ac:dyDescent="0.3">
      <c r="A725" t="s">
        <v>131</v>
      </c>
      <c r="B725" t="s">
        <v>755</v>
      </c>
      <c r="C725">
        <v>0</v>
      </c>
      <c r="D725">
        <v>0</v>
      </c>
      <c r="E725">
        <v>1</v>
      </c>
      <c r="F725">
        <v>0</v>
      </c>
      <c r="G725">
        <v>0</v>
      </c>
      <c r="H725">
        <v>0</v>
      </c>
      <c r="I725">
        <v>0</v>
      </c>
      <c r="J725">
        <v>0</v>
      </c>
      <c r="K725">
        <v>0</v>
      </c>
      <c r="L725">
        <v>0</v>
      </c>
      <c r="M725">
        <v>1</v>
      </c>
      <c r="P725" s="4"/>
    </row>
    <row r="726" spans="1:16" x14ac:dyDescent="0.3">
      <c r="A726" t="s">
        <v>131</v>
      </c>
      <c r="B726" t="s">
        <v>756</v>
      </c>
      <c r="C726">
        <v>0</v>
      </c>
      <c r="D726">
        <v>0</v>
      </c>
      <c r="E726">
        <v>0</v>
      </c>
      <c r="F726">
        <v>0</v>
      </c>
      <c r="G726">
        <v>0</v>
      </c>
      <c r="H726">
        <v>0</v>
      </c>
      <c r="I726">
        <v>3</v>
      </c>
      <c r="J726">
        <v>0</v>
      </c>
      <c r="K726">
        <v>0</v>
      </c>
      <c r="L726">
        <v>0</v>
      </c>
      <c r="M726">
        <v>3</v>
      </c>
      <c r="P726" s="3"/>
    </row>
    <row r="727" spans="1:16" x14ac:dyDescent="0.3">
      <c r="A727" t="s">
        <v>133</v>
      </c>
      <c r="B727" t="s">
        <v>757</v>
      </c>
      <c r="C727">
        <v>0</v>
      </c>
      <c r="D727">
        <v>0</v>
      </c>
      <c r="E727">
        <v>0</v>
      </c>
      <c r="F727">
        <v>0</v>
      </c>
      <c r="G727">
        <v>0</v>
      </c>
      <c r="H727">
        <v>1</v>
      </c>
      <c r="I727">
        <v>0</v>
      </c>
      <c r="J727">
        <v>0</v>
      </c>
      <c r="K727">
        <v>0</v>
      </c>
      <c r="L727">
        <v>0</v>
      </c>
      <c r="M727">
        <v>1</v>
      </c>
      <c r="P727" s="4"/>
    </row>
    <row r="728" spans="1:16" x14ac:dyDescent="0.3">
      <c r="A728" t="s">
        <v>133</v>
      </c>
      <c r="B728" t="s">
        <v>758</v>
      </c>
      <c r="C728">
        <v>0</v>
      </c>
      <c r="D728">
        <v>0</v>
      </c>
      <c r="E728">
        <v>0</v>
      </c>
      <c r="F728">
        <v>0</v>
      </c>
      <c r="G728">
        <v>0</v>
      </c>
      <c r="H728">
        <v>0</v>
      </c>
      <c r="I728">
        <v>0</v>
      </c>
      <c r="J728">
        <v>3</v>
      </c>
      <c r="K728">
        <v>0</v>
      </c>
      <c r="L728">
        <v>0</v>
      </c>
      <c r="M728">
        <v>3</v>
      </c>
      <c r="P728" s="3"/>
    </row>
    <row r="729" spans="1:16" x14ac:dyDescent="0.3">
      <c r="A729" t="s">
        <v>131</v>
      </c>
      <c r="B729" t="s">
        <v>758</v>
      </c>
      <c r="C729">
        <v>0</v>
      </c>
      <c r="D729">
        <v>0</v>
      </c>
      <c r="E729">
        <v>0</v>
      </c>
      <c r="F729">
        <v>0</v>
      </c>
      <c r="G729">
        <v>0</v>
      </c>
      <c r="H729">
        <v>0</v>
      </c>
      <c r="I729">
        <v>0</v>
      </c>
      <c r="J729">
        <v>8</v>
      </c>
      <c r="K729">
        <v>7</v>
      </c>
      <c r="L729">
        <v>35</v>
      </c>
      <c r="M729">
        <v>50</v>
      </c>
      <c r="P729" s="4"/>
    </row>
    <row r="730" spans="1:16" x14ac:dyDescent="0.3">
      <c r="A730" t="s">
        <v>136</v>
      </c>
      <c r="B730" t="s">
        <v>758</v>
      </c>
      <c r="C730">
        <v>0</v>
      </c>
      <c r="D730">
        <v>0</v>
      </c>
      <c r="E730">
        <v>0</v>
      </c>
      <c r="F730">
        <v>0</v>
      </c>
      <c r="G730">
        <v>0</v>
      </c>
      <c r="H730">
        <v>0</v>
      </c>
      <c r="I730">
        <v>0</v>
      </c>
      <c r="J730">
        <v>0</v>
      </c>
      <c r="K730">
        <v>0</v>
      </c>
      <c r="L730">
        <v>3</v>
      </c>
      <c r="M730">
        <v>3</v>
      </c>
      <c r="P730" s="3"/>
    </row>
    <row r="731" spans="1:16" x14ac:dyDescent="0.3">
      <c r="A731" t="s">
        <v>131</v>
      </c>
      <c r="B731" t="s">
        <v>759</v>
      </c>
      <c r="C731">
        <v>0</v>
      </c>
      <c r="D731">
        <v>0</v>
      </c>
      <c r="E731">
        <v>28</v>
      </c>
      <c r="F731">
        <v>0</v>
      </c>
      <c r="G731">
        <v>1</v>
      </c>
      <c r="H731">
        <v>0</v>
      </c>
      <c r="I731">
        <v>0</v>
      </c>
      <c r="J731">
        <v>0</v>
      </c>
      <c r="K731">
        <v>0</v>
      </c>
      <c r="L731">
        <v>0</v>
      </c>
      <c r="M731">
        <v>29</v>
      </c>
      <c r="P731" s="4"/>
    </row>
    <row r="732" spans="1:16" x14ac:dyDescent="0.3">
      <c r="A732" t="s">
        <v>133</v>
      </c>
      <c r="B732" t="s">
        <v>760</v>
      </c>
      <c r="C732">
        <v>0</v>
      </c>
      <c r="D732">
        <v>0</v>
      </c>
      <c r="E732">
        <v>0</v>
      </c>
      <c r="F732">
        <v>0</v>
      </c>
      <c r="G732">
        <v>0</v>
      </c>
      <c r="H732">
        <v>19</v>
      </c>
      <c r="I732">
        <v>38</v>
      </c>
      <c r="J732">
        <v>4</v>
      </c>
      <c r="K732">
        <v>2</v>
      </c>
      <c r="L732">
        <v>0</v>
      </c>
      <c r="M732">
        <v>63</v>
      </c>
      <c r="P732" s="3"/>
    </row>
    <row r="733" spans="1:16" x14ac:dyDescent="0.3">
      <c r="A733" t="s">
        <v>131</v>
      </c>
      <c r="B733" t="s">
        <v>761</v>
      </c>
      <c r="C733">
        <v>0</v>
      </c>
      <c r="D733">
        <v>0</v>
      </c>
      <c r="E733">
        <v>0</v>
      </c>
      <c r="F733">
        <v>0</v>
      </c>
      <c r="G733">
        <v>17</v>
      </c>
      <c r="H733">
        <v>54</v>
      </c>
      <c r="I733">
        <v>105</v>
      </c>
      <c r="J733">
        <v>50</v>
      </c>
      <c r="K733">
        <v>0</v>
      </c>
      <c r="L733">
        <v>8</v>
      </c>
      <c r="M733">
        <v>234</v>
      </c>
      <c r="P733" s="4"/>
    </row>
    <row r="734" spans="1:16" x14ac:dyDescent="0.3">
      <c r="A734" t="s">
        <v>131</v>
      </c>
      <c r="B734" t="s">
        <v>762</v>
      </c>
      <c r="C734">
        <v>0</v>
      </c>
      <c r="D734">
        <v>0</v>
      </c>
      <c r="E734">
        <v>0</v>
      </c>
      <c r="F734">
        <v>0</v>
      </c>
      <c r="G734">
        <v>0</v>
      </c>
      <c r="H734">
        <v>0</v>
      </c>
      <c r="I734">
        <v>0</v>
      </c>
      <c r="J734">
        <v>0</v>
      </c>
      <c r="K734">
        <v>0</v>
      </c>
      <c r="L734">
        <v>11</v>
      </c>
      <c r="M734">
        <v>11</v>
      </c>
      <c r="P734" s="3"/>
    </row>
    <row r="735" spans="1:16" x14ac:dyDescent="0.3">
      <c r="A735" t="s">
        <v>131</v>
      </c>
      <c r="B735" t="s">
        <v>763</v>
      </c>
      <c r="C735">
        <v>0</v>
      </c>
      <c r="D735">
        <v>0</v>
      </c>
      <c r="E735">
        <v>0</v>
      </c>
      <c r="F735">
        <v>0</v>
      </c>
      <c r="G735">
        <v>0</v>
      </c>
      <c r="H735">
        <v>0</v>
      </c>
      <c r="I735">
        <v>11</v>
      </c>
      <c r="J735">
        <v>17</v>
      </c>
      <c r="K735">
        <v>153</v>
      </c>
      <c r="L735">
        <v>230</v>
      </c>
      <c r="M735">
        <v>411</v>
      </c>
      <c r="P735" s="4"/>
    </row>
    <row r="736" spans="1:16" x14ac:dyDescent="0.3">
      <c r="A736" t="s">
        <v>133</v>
      </c>
      <c r="B736" t="s">
        <v>764</v>
      </c>
      <c r="C736">
        <v>0</v>
      </c>
      <c r="D736">
        <v>0</v>
      </c>
      <c r="E736">
        <v>0</v>
      </c>
      <c r="F736">
        <v>0</v>
      </c>
      <c r="G736">
        <v>0</v>
      </c>
      <c r="H736">
        <v>0</v>
      </c>
      <c r="I736">
        <v>0</v>
      </c>
      <c r="J736">
        <v>18</v>
      </c>
      <c r="K736">
        <v>4</v>
      </c>
      <c r="L736">
        <v>0</v>
      </c>
      <c r="M736">
        <v>22</v>
      </c>
      <c r="P736" s="3"/>
    </row>
    <row r="737" spans="1:16" x14ac:dyDescent="0.3">
      <c r="A737" t="s">
        <v>131</v>
      </c>
      <c r="B737" t="s">
        <v>765</v>
      </c>
      <c r="C737">
        <v>23</v>
      </c>
      <c r="D737">
        <v>982</v>
      </c>
      <c r="E737">
        <v>1196</v>
      </c>
      <c r="F737">
        <v>2033</v>
      </c>
      <c r="G737">
        <v>1988</v>
      </c>
      <c r="H737">
        <v>881</v>
      </c>
      <c r="I737">
        <v>1804</v>
      </c>
      <c r="J737">
        <v>2865</v>
      </c>
      <c r="K737">
        <v>2571</v>
      </c>
      <c r="L737">
        <v>1373</v>
      </c>
      <c r="M737">
        <v>15716</v>
      </c>
      <c r="P737" s="4"/>
    </row>
    <row r="738" spans="1:16" x14ac:dyDescent="0.3">
      <c r="A738" t="s">
        <v>136</v>
      </c>
      <c r="B738" t="s">
        <v>765</v>
      </c>
      <c r="C738">
        <v>0</v>
      </c>
      <c r="D738">
        <v>0</v>
      </c>
      <c r="E738">
        <v>0</v>
      </c>
      <c r="F738">
        <v>1</v>
      </c>
      <c r="G738">
        <v>0</v>
      </c>
      <c r="H738">
        <v>0</v>
      </c>
      <c r="I738">
        <v>0</v>
      </c>
      <c r="J738">
        <v>0</v>
      </c>
      <c r="K738">
        <v>0</v>
      </c>
      <c r="L738">
        <v>0</v>
      </c>
      <c r="M738">
        <v>1</v>
      </c>
      <c r="P738" s="3"/>
    </row>
    <row r="739" spans="1:16" x14ac:dyDescent="0.3">
      <c r="A739" t="s">
        <v>131</v>
      </c>
      <c r="B739" t="s">
        <v>766</v>
      </c>
      <c r="C739">
        <v>0</v>
      </c>
      <c r="D739">
        <v>0</v>
      </c>
      <c r="E739">
        <v>147</v>
      </c>
      <c r="F739">
        <v>431</v>
      </c>
      <c r="G739">
        <v>537</v>
      </c>
      <c r="H739">
        <v>248</v>
      </c>
      <c r="I739">
        <v>289</v>
      </c>
      <c r="J739">
        <v>469</v>
      </c>
      <c r="K739">
        <v>564</v>
      </c>
      <c r="L739">
        <v>401</v>
      </c>
      <c r="M739">
        <v>3086</v>
      </c>
      <c r="P739" s="4"/>
    </row>
    <row r="740" spans="1:16" x14ac:dyDescent="0.3">
      <c r="A740" t="s">
        <v>136</v>
      </c>
      <c r="B740" t="s">
        <v>766</v>
      </c>
      <c r="C740">
        <v>0</v>
      </c>
      <c r="D740">
        <v>0</v>
      </c>
      <c r="E740">
        <v>0</v>
      </c>
      <c r="F740">
        <v>1</v>
      </c>
      <c r="G740">
        <v>0</v>
      </c>
      <c r="H740">
        <v>0</v>
      </c>
      <c r="I740">
        <v>0</v>
      </c>
      <c r="J740">
        <v>0</v>
      </c>
      <c r="K740">
        <v>0</v>
      </c>
      <c r="L740">
        <v>0</v>
      </c>
      <c r="M740">
        <v>1</v>
      </c>
      <c r="P740" s="3"/>
    </row>
    <row r="741" spans="1:16" x14ac:dyDescent="0.3">
      <c r="A741" t="s">
        <v>133</v>
      </c>
      <c r="B741" t="s">
        <v>767</v>
      </c>
      <c r="C741">
        <v>0</v>
      </c>
      <c r="D741">
        <v>0</v>
      </c>
      <c r="E741">
        <v>0</v>
      </c>
      <c r="F741">
        <v>0</v>
      </c>
      <c r="G741">
        <v>0</v>
      </c>
      <c r="H741">
        <v>0</v>
      </c>
      <c r="I741">
        <v>0</v>
      </c>
      <c r="J741">
        <v>0</v>
      </c>
      <c r="K741">
        <v>1</v>
      </c>
      <c r="L741">
        <v>27</v>
      </c>
      <c r="M741">
        <v>28</v>
      </c>
      <c r="P741" s="4"/>
    </row>
    <row r="742" spans="1:16" x14ac:dyDescent="0.3">
      <c r="A742" t="s">
        <v>133</v>
      </c>
      <c r="B742" t="s">
        <v>768</v>
      </c>
      <c r="C742">
        <v>0</v>
      </c>
      <c r="D742">
        <v>0</v>
      </c>
      <c r="E742">
        <v>0</v>
      </c>
      <c r="F742">
        <v>0</v>
      </c>
      <c r="G742">
        <v>0</v>
      </c>
      <c r="H742">
        <v>0</v>
      </c>
      <c r="I742">
        <v>0</v>
      </c>
      <c r="J742">
        <v>0</v>
      </c>
      <c r="K742">
        <v>1</v>
      </c>
      <c r="L742">
        <v>1</v>
      </c>
      <c r="M742">
        <v>2</v>
      </c>
      <c r="P742" s="3"/>
    </row>
    <row r="743" spans="1:16" x14ac:dyDescent="0.3">
      <c r="A743" t="s">
        <v>131</v>
      </c>
      <c r="B743" t="s">
        <v>769</v>
      </c>
      <c r="C743">
        <v>0</v>
      </c>
      <c r="D743">
        <v>0</v>
      </c>
      <c r="E743">
        <v>2</v>
      </c>
      <c r="F743">
        <v>0</v>
      </c>
      <c r="G743">
        <v>0</v>
      </c>
      <c r="H743">
        <v>0</v>
      </c>
      <c r="I743">
        <v>0</v>
      </c>
      <c r="J743">
        <v>0</v>
      </c>
      <c r="K743">
        <v>0</v>
      </c>
      <c r="L743">
        <v>0</v>
      </c>
      <c r="M743">
        <v>2</v>
      </c>
      <c r="P743" s="4"/>
    </row>
    <row r="744" spans="1:16" x14ac:dyDescent="0.3">
      <c r="A744" t="s">
        <v>136</v>
      </c>
      <c r="B744" t="s">
        <v>769</v>
      </c>
      <c r="C744">
        <v>2</v>
      </c>
      <c r="D744">
        <v>2</v>
      </c>
      <c r="E744">
        <v>0</v>
      </c>
      <c r="F744">
        <v>0</v>
      </c>
      <c r="G744">
        <v>0</v>
      </c>
      <c r="H744">
        <v>0</v>
      </c>
      <c r="I744">
        <v>6</v>
      </c>
      <c r="J744">
        <v>0</v>
      </c>
      <c r="K744">
        <v>0</v>
      </c>
      <c r="L744">
        <v>0</v>
      </c>
      <c r="M744">
        <v>10</v>
      </c>
      <c r="P744" s="3"/>
    </row>
    <row r="745" spans="1:16" x14ac:dyDescent="0.3">
      <c r="A745" t="s">
        <v>136</v>
      </c>
      <c r="B745" t="s">
        <v>770</v>
      </c>
      <c r="C745">
        <v>0</v>
      </c>
      <c r="D745">
        <v>0</v>
      </c>
      <c r="E745">
        <v>0</v>
      </c>
      <c r="F745">
        <v>0</v>
      </c>
      <c r="G745">
        <v>0</v>
      </c>
      <c r="H745">
        <v>0</v>
      </c>
      <c r="I745">
        <v>0</v>
      </c>
      <c r="J745">
        <v>1</v>
      </c>
      <c r="K745">
        <v>2</v>
      </c>
      <c r="L745">
        <v>0</v>
      </c>
      <c r="M745">
        <v>3</v>
      </c>
      <c r="P745" s="4"/>
    </row>
    <row r="746" spans="1:16" x14ac:dyDescent="0.3">
      <c r="A746" t="s">
        <v>136</v>
      </c>
      <c r="B746" t="s">
        <v>771</v>
      </c>
      <c r="C746">
        <v>3</v>
      </c>
      <c r="D746">
        <v>0</v>
      </c>
      <c r="E746">
        <v>0</v>
      </c>
      <c r="F746">
        <v>0</v>
      </c>
      <c r="G746">
        <v>0</v>
      </c>
      <c r="H746">
        <v>0</v>
      </c>
      <c r="I746">
        <v>0</v>
      </c>
      <c r="J746">
        <v>0</v>
      </c>
      <c r="K746">
        <v>0</v>
      </c>
      <c r="L746">
        <v>0</v>
      </c>
      <c r="M746">
        <v>3</v>
      </c>
      <c r="P746" s="3"/>
    </row>
    <row r="747" spans="1:16" x14ac:dyDescent="0.3">
      <c r="A747" t="s">
        <v>133</v>
      </c>
      <c r="B747" t="s">
        <v>772</v>
      </c>
      <c r="C747">
        <v>1</v>
      </c>
      <c r="D747">
        <v>0</v>
      </c>
      <c r="E747">
        <v>0</v>
      </c>
      <c r="F747">
        <v>0</v>
      </c>
      <c r="G747">
        <v>0</v>
      </c>
      <c r="H747">
        <v>0</v>
      </c>
      <c r="I747">
        <v>0</v>
      </c>
      <c r="J747">
        <v>0</v>
      </c>
      <c r="K747">
        <v>0</v>
      </c>
      <c r="L747">
        <v>0</v>
      </c>
      <c r="M747">
        <v>1</v>
      </c>
      <c r="P747" s="4"/>
    </row>
    <row r="748" spans="1:16" x14ac:dyDescent="0.3">
      <c r="A748" t="s">
        <v>131</v>
      </c>
      <c r="B748" t="s">
        <v>773</v>
      </c>
      <c r="C748">
        <v>0</v>
      </c>
      <c r="D748">
        <v>0</v>
      </c>
      <c r="E748">
        <v>0</v>
      </c>
      <c r="F748">
        <v>22</v>
      </c>
      <c r="G748">
        <v>32</v>
      </c>
      <c r="H748">
        <v>8</v>
      </c>
      <c r="I748">
        <v>13</v>
      </c>
      <c r="J748">
        <v>80</v>
      </c>
      <c r="K748">
        <v>60</v>
      </c>
      <c r="L748">
        <v>1</v>
      </c>
      <c r="M748">
        <v>216</v>
      </c>
      <c r="P748" s="3"/>
    </row>
    <row r="749" spans="1:16" x14ac:dyDescent="0.3">
      <c r="A749" t="s">
        <v>136</v>
      </c>
      <c r="B749" t="s">
        <v>773</v>
      </c>
      <c r="C749">
        <v>0</v>
      </c>
      <c r="D749">
        <v>0</v>
      </c>
      <c r="E749">
        <v>0</v>
      </c>
      <c r="F749">
        <v>1</v>
      </c>
      <c r="G749">
        <v>0</v>
      </c>
      <c r="H749">
        <v>0</v>
      </c>
      <c r="I749">
        <v>0</v>
      </c>
      <c r="J749">
        <v>0</v>
      </c>
      <c r="K749">
        <v>0</v>
      </c>
      <c r="L749">
        <v>0</v>
      </c>
      <c r="M749">
        <v>1</v>
      </c>
      <c r="P749" s="4"/>
    </row>
    <row r="750" spans="1:16" x14ac:dyDescent="0.3">
      <c r="A750" t="s">
        <v>133</v>
      </c>
      <c r="B750" t="s">
        <v>774</v>
      </c>
      <c r="C750">
        <v>4</v>
      </c>
      <c r="D750">
        <v>1</v>
      </c>
      <c r="E750">
        <v>0</v>
      </c>
      <c r="F750">
        <v>1</v>
      </c>
      <c r="G750">
        <v>0</v>
      </c>
      <c r="H750">
        <v>0</v>
      </c>
      <c r="I750">
        <v>0</v>
      </c>
      <c r="J750">
        <v>0</v>
      </c>
      <c r="K750">
        <v>0</v>
      </c>
      <c r="L750">
        <v>0</v>
      </c>
      <c r="M750">
        <v>6</v>
      </c>
      <c r="P750" s="3"/>
    </row>
    <row r="751" spans="1:16" x14ac:dyDescent="0.3">
      <c r="A751" t="s">
        <v>131</v>
      </c>
      <c r="B751" t="s">
        <v>774</v>
      </c>
      <c r="C751">
        <v>2</v>
      </c>
      <c r="D751">
        <v>35</v>
      </c>
      <c r="E751">
        <v>242</v>
      </c>
      <c r="F751">
        <v>4150</v>
      </c>
      <c r="G751">
        <v>6725</v>
      </c>
      <c r="H751">
        <v>4564</v>
      </c>
      <c r="I751">
        <v>3860</v>
      </c>
      <c r="J751">
        <v>13558</v>
      </c>
      <c r="K751">
        <v>37942</v>
      </c>
      <c r="L751">
        <v>1331</v>
      </c>
      <c r="M751">
        <v>72409</v>
      </c>
      <c r="P751" s="4"/>
    </row>
    <row r="752" spans="1:16" x14ac:dyDescent="0.3">
      <c r="A752" t="s">
        <v>136</v>
      </c>
      <c r="B752" t="s">
        <v>774</v>
      </c>
      <c r="C752">
        <v>254</v>
      </c>
      <c r="D752">
        <v>344</v>
      </c>
      <c r="E752">
        <v>443</v>
      </c>
      <c r="F752">
        <v>974</v>
      </c>
      <c r="G752">
        <v>687</v>
      </c>
      <c r="H752">
        <v>419</v>
      </c>
      <c r="I752">
        <v>115</v>
      </c>
      <c r="J752">
        <v>333</v>
      </c>
      <c r="K752">
        <v>4505</v>
      </c>
      <c r="L752">
        <v>4305</v>
      </c>
      <c r="M752">
        <v>12379</v>
      </c>
      <c r="P752" s="3"/>
    </row>
    <row r="753" spans="1:16" x14ac:dyDescent="0.3">
      <c r="A753" t="s">
        <v>136</v>
      </c>
      <c r="B753" t="s">
        <v>775</v>
      </c>
      <c r="C753">
        <v>0</v>
      </c>
      <c r="D753">
        <v>1</v>
      </c>
      <c r="E753">
        <v>0</v>
      </c>
      <c r="F753">
        <v>1</v>
      </c>
      <c r="G753">
        <v>0</v>
      </c>
      <c r="H753">
        <v>0</v>
      </c>
      <c r="I753">
        <v>0</v>
      </c>
      <c r="J753">
        <v>0</v>
      </c>
      <c r="K753">
        <v>0</v>
      </c>
      <c r="L753">
        <v>0</v>
      </c>
      <c r="M753">
        <v>2</v>
      </c>
      <c r="P753" s="4"/>
    </row>
    <row r="754" spans="1:16" x14ac:dyDescent="0.3">
      <c r="A754" t="s">
        <v>131</v>
      </c>
      <c r="B754" t="s">
        <v>776</v>
      </c>
      <c r="C754">
        <v>0</v>
      </c>
      <c r="D754">
        <v>0</v>
      </c>
      <c r="E754">
        <v>33</v>
      </c>
      <c r="F754">
        <v>3</v>
      </c>
      <c r="G754">
        <v>0</v>
      </c>
      <c r="H754">
        <v>0</v>
      </c>
      <c r="I754">
        <v>0</v>
      </c>
      <c r="J754">
        <v>0</v>
      </c>
      <c r="K754">
        <v>0</v>
      </c>
      <c r="L754">
        <v>0</v>
      </c>
      <c r="M754">
        <v>36</v>
      </c>
      <c r="P754" s="3"/>
    </row>
    <row r="755" spans="1:16" x14ac:dyDescent="0.3">
      <c r="A755" t="s">
        <v>133</v>
      </c>
      <c r="B755" t="s">
        <v>777</v>
      </c>
      <c r="C755">
        <v>0</v>
      </c>
      <c r="D755">
        <v>0</v>
      </c>
      <c r="E755">
        <v>0</v>
      </c>
      <c r="F755">
        <v>1</v>
      </c>
      <c r="G755">
        <v>0</v>
      </c>
      <c r="H755">
        <v>0</v>
      </c>
      <c r="I755">
        <v>0</v>
      </c>
      <c r="J755">
        <v>0</v>
      </c>
      <c r="K755">
        <v>0</v>
      </c>
      <c r="L755">
        <v>0</v>
      </c>
      <c r="M755">
        <v>1</v>
      </c>
      <c r="P755" s="4"/>
    </row>
    <row r="756" spans="1:16" x14ac:dyDescent="0.3">
      <c r="A756" t="s">
        <v>131</v>
      </c>
      <c r="B756" t="s">
        <v>777</v>
      </c>
      <c r="C756">
        <v>0</v>
      </c>
      <c r="D756">
        <v>0</v>
      </c>
      <c r="E756">
        <v>51</v>
      </c>
      <c r="F756">
        <v>35</v>
      </c>
      <c r="G756">
        <v>1786</v>
      </c>
      <c r="H756">
        <v>3219</v>
      </c>
      <c r="I756">
        <v>6711</v>
      </c>
      <c r="J756">
        <v>15931</v>
      </c>
      <c r="K756">
        <v>4949</v>
      </c>
      <c r="L756">
        <v>57</v>
      </c>
      <c r="M756">
        <v>32739</v>
      </c>
      <c r="P756" s="3"/>
    </row>
    <row r="757" spans="1:16" x14ac:dyDescent="0.3">
      <c r="A757" t="s">
        <v>136</v>
      </c>
      <c r="B757" t="s">
        <v>777</v>
      </c>
      <c r="C757">
        <v>462</v>
      </c>
      <c r="D757">
        <v>306</v>
      </c>
      <c r="E757">
        <v>499</v>
      </c>
      <c r="F757">
        <v>461</v>
      </c>
      <c r="G757">
        <v>99</v>
      </c>
      <c r="H757">
        <v>35</v>
      </c>
      <c r="I757">
        <v>82</v>
      </c>
      <c r="J757">
        <v>66</v>
      </c>
      <c r="K757">
        <v>56</v>
      </c>
      <c r="L757">
        <v>1</v>
      </c>
      <c r="M757">
        <v>2067</v>
      </c>
      <c r="P757" s="4"/>
    </row>
    <row r="758" spans="1:16" x14ac:dyDescent="0.3">
      <c r="A758" t="s">
        <v>131</v>
      </c>
      <c r="B758" t="s">
        <v>778</v>
      </c>
      <c r="C758">
        <v>0</v>
      </c>
      <c r="D758">
        <v>1</v>
      </c>
      <c r="E758">
        <v>0</v>
      </c>
      <c r="F758">
        <v>0</v>
      </c>
      <c r="G758">
        <v>0</v>
      </c>
      <c r="H758">
        <v>0</v>
      </c>
      <c r="I758">
        <v>0</v>
      </c>
      <c r="J758">
        <v>0</v>
      </c>
      <c r="K758">
        <v>0</v>
      </c>
      <c r="L758">
        <v>0</v>
      </c>
      <c r="M758">
        <v>1</v>
      </c>
      <c r="P758" s="3"/>
    </row>
    <row r="759" spans="1:16" x14ac:dyDescent="0.3">
      <c r="A759" t="s">
        <v>131</v>
      </c>
      <c r="B759" t="s">
        <v>779</v>
      </c>
      <c r="C759">
        <v>0</v>
      </c>
      <c r="D759">
        <v>0</v>
      </c>
      <c r="E759">
        <v>0</v>
      </c>
      <c r="F759">
        <v>0</v>
      </c>
      <c r="G759">
        <v>0</v>
      </c>
      <c r="H759">
        <v>0</v>
      </c>
      <c r="I759">
        <v>0</v>
      </c>
      <c r="J759">
        <v>0</v>
      </c>
      <c r="K759">
        <v>11733</v>
      </c>
      <c r="L759">
        <v>34331</v>
      </c>
      <c r="M759">
        <v>46064</v>
      </c>
      <c r="P759" s="4"/>
    </row>
    <row r="760" spans="1:16" x14ac:dyDescent="0.3">
      <c r="A760" t="s">
        <v>136</v>
      </c>
      <c r="B760" t="s">
        <v>779</v>
      </c>
      <c r="C760">
        <v>0</v>
      </c>
      <c r="D760">
        <v>0</v>
      </c>
      <c r="E760">
        <v>0</v>
      </c>
      <c r="F760">
        <v>0</v>
      </c>
      <c r="G760">
        <v>0</v>
      </c>
      <c r="H760">
        <v>0</v>
      </c>
      <c r="I760">
        <v>0</v>
      </c>
      <c r="J760">
        <v>0</v>
      </c>
      <c r="K760">
        <v>40</v>
      </c>
      <c r="L760">
        <v>430</v>
      </c>
      <c r="M760">
        <v>470</v>
      </c>
      <c r="P760" s="3"/>
    </row>
    <row r="761" spans="1:16" x14ac:dyDescent="0.3">
      <c r="A761" t="s">
        <v>131</v>
      </c>
      <c r="B761" t="s">
        <v>780</v>
      </c>
      <c r="C761">
        <v>0</v>
      </c>
      <c r="D761">
        <v>0</v>
      </c>
      <c r="E761">
        <v>19</v>
      </c>
      <c r="F761">
        <v>6</v>
      </c>
      <c r="G761">
        <v>0</v>
      </c>
      <c r="H761">
        <v>0</v>
      </c>
      <c r="I761">
        <v>0</v>
      </c>
      <c r="J761">
        <v>0</v>
      </c>
      <c r="K761">
        <v>0</v>
      </c>
      <c r="L761">
        <v>0</v>
      </c>
      <c r="M761">
        <v>25</v>
      </c>
      <c r="P761" s="4"/>
    </row>
    <row r="762" spans="1:16" x14ac:dyDescent="0.3">
      <c r="A762" t="s">
        <v>131</v>
      </c>
      <c r="B762" t="s">
        <v>781</v>
      </c>
      <c r="C762">
        <v>0</v>
      </c>
      <c r="D762">
        <v>3</v>
      </c>
      <c r="E762">
        <v>0</v>
      </c>
      <c r="F762">
        <v>0</v>
      </c>
      <c r="G762">
        <v>0</v>
      </c>
      <c r="H762">
        <v>0</v>
      </c>
      <c r="I762">
        <v>0</v>
      </c>
      <c r="J762">
        <v>0</v>
      </c>
      <c r="K762">
        <v>0</v>
      </c>
      <c r="L762">
        <v>0</v>
      </c>
      <c r="M762">
        <v>3</v>
      </c>
      <c r="P762" s="3"/>
    </row>
    <row r="763" spans="1:16" x14ac:dyDescent="0.3">
      <c r="A763" t="s">
        <v>136</v>
      </c>
      <c r="B763" t="s">
        <v>782</v>
      </c>
      <c r="C763">
        <v>2</v>
      </c>
      <c r="D763">
        <v>0</v>
      </c>
      <c r="E763">
        <v>0</v>
      </c>
      <c r="F763">
        <v>1</v>
      </c>
      <c r="G763">
        <v>0</v>
      </c>
      <c r="H763">
        <v>0</v>
      </c>
      <c r="I763">
        <v>0</v>
      </c>
      <c r="J763">
        <v>0</v>
      </c>
      <c r="K763">
        <v>0</v>
      </c>
      <c r="L763">
        <v>0</v>
      </c>
      <c r="M763">
        <v>3</v>
      </c>
      <c r="P763" s="4"/>
    </row>
    <row r="764" spans="1:16" x14ac:dyDescent="0.3">
      <c r="A764" t="s">
        <v>133</v>
      </c>
      <c r="B764" t="s">
        <v>783</v>
      </c>
      <c r="C764">
        <v>5</v>
      </c>
      <c r="D764">
        <v>14</v>
      </c>
      <c r="E764">
        <v>0</v>
      </c>
      <c r="F764">
        <v>0</v>
      </c>
      <c r="G764">
        <v>0</v>
      </c>
      <c r="H764">
        <v>0</v>
      </c>
      <c r="I764">
        <v>0</v>
      </c>
      <c r="J764">
        <v>0</v>
      </c>
      <c r="K764">
        <v>0</v>
      </c>
      <c r="L764">
        <v>0</v>
      </c>
      <c r="M764">
        <v>19</v>
      </c>
      <c r="P764" s="3"/>
    </row>
    <row r="765" spans="1:16" x14ac:dyDescent="0.3">
      <c r="A765" t="s">
        <v>136</v>
      </c>
      <c r="B765" t="s">
        <v>783</v>
      </c>
      <c r="C765">
        <v>0</v>
      </c>
      <c r="D765">
        <v>0</v>
      </c>
      <c r="E765">
        <v>2</v>
      </c>
      <c r="F765">
        <v>0</v>
      </c>
      <c r="G765">
        <v>0</v>
      </c>
      <c r="H765">
        <v>0</v>
      </c>
      <c r="I765">
        <v>0</v>
      </c>
      <c r="J765">
        <v>0</v>
      </c>
      <c r="K765">
        <v>0</v>
      </c>
      <c r="L765">
        <v>0</v>
      </c>
      <c r="M765">
        <v>2</v>
      </c>
      <c r="P765" s="4"/>
    </row>
    <row r="766" spans="1:16" x14ac:dyDescent="0.3">
      <c r="A766" t="s">
        <v>136</v>
      </c>
      <c r="B766" t="s">
        <v>784</v>
      </c>
      <c r="C766">
        <v>1</v>
      </c>
      <c r="D766">
        <v>0</v>
      </c>
      <c r="E766">
        <v>0</v>
      </c>
      <c r="F766">
        <v>0</v>
      </c>
      <c r="G766">
        <v>0</v>
      </c>
      <c r="H766">
        <v>0</v>
      </c>
      <c r="I766">
        <v>0</v>
      </c>
      <c r="J766">
        <v>0</v>
      </c>
      <c r="K766">
        <v>0</v>
      </c>
      <c r="L766">
        <v>0</v>
      </c>
      <c r="M766">
        <v>1</v>
      </c>
      <c r="P766" s="3"/>
    </row>
    <row r="767" spans="1:16" x14ac:dyDescent="0.3">
      <c r="A767" t="s">
        <v>131</v>
      </c>
      <c r="B767" t="s">
        <v>785</v>
      </c>
      <c r="C767">
        <v>0</v>
      </c>
      <c r="D767">
        <v>0</v>
      </c>
      <c r="E767">
        <v>0</v>
      </c>
      <c r="F767">
        <v>0</v>
      </c>
      <c r="G767">
        <v>0</v>
      </c>
      <c r="H767">
        <v>0</v>
      </c>
      <c r="I767">
        <v>7</v>
      </c>
      <c r="J767">
        <v>186</v>
      </c>
      <c r="K767">
        <v>778</v>
      </c>
      <c r="L767">
        <v>590</v>
      </c>
      <c r="M767">
        <v>1561</v>
      </c>
      <c r="P767" s="4"/>
    </row>
    <row r="768" spans="1:16" x14ac:dyDescent="0.3">
      <c r="A768" t="s">
        <v>131</v>
      </c>
      <c r="B768" t="s">
        <v>786</v>
      </c>
      <c r="C768">
        <v>0</v>
      </c>
      <c r="D768">
        <v>0</v>
      </c>
      <c r="E768">
        <v>0</v>
      </c>
      <c r="F768">
        <v>0</v>
      </c>
      <c r="G768">
        <v>0</v>
      </c>
      <c r="H768">
        <v>0</v>
      </c>
      <c r="I768">
        <v>0</v>
      </c>
      <c r="J768">
        <v>0</v>
      </c>
      <c r="K768">
        <v>52</v>
      </c>
      <c r="L768">
        <v>50</v>
      </c>
      <c r="M768">
        <v>102</v>
      </c>
      <c r="P768" s="3"/>
    </row>
    <row r="769" spans="1:16" x14ac:dyDescent="0.3">
      <c r="A769" t="s">
        <v>131</v>
      </c>
      <c r="B769" t="s">
        <v>787</v>
      </c>
      <c r="C769">
        <v>0</v>
      </c>
      <c r="D769">
        <v>0</v>
      </c>
      <c r="E769">
        <v>35</v>
      </c>
      <c r="F769">
        <v>47</v>
      </c>
      <c r="G769">
        <v>6</v>
      </c>
      <c r="H769">
        <v>0</v>
      </c>
      <c r="I769">
        <v>0</v>
      </c>
      <c r="J769">
        <v>0</v>
      </c>
      <c r="K769">
        <v>0</v>
      </c>
      <c r="L769">
        <v>0</v>
      </c>
      <c r="M769">
        <v>88</v>
      </c>
      <c r="P769" s="4"/>
    </row>
    <row r="770" spans="1:16" x14ac:dyDescent="0.3">
      <c r="A770" t="s">
        <v>131</v>
      </c>
      <c r="B770" t="s">
        <v>788</v>
      </c>
      <c r="C770">
        <v>0</v>
      </c>
      <c r="D770">
        <v>0</v>
      </c>
      <c r="E770">
        <v>0</v>
      </c>
      <c r="F770">
        <v>107</v>
      </c>
      <c r="G770">
        <v>499</v>
      </c>
      <c r="H770">
        <v>103</v>
      </c>
      <c r="I770">
        <v>84</v>
      </c>
      <c r="J770">
        <v>133</v>
      </c>
      <c r="K770">
        <v>10</v>
      </c>
      <c r="L770">
        <v>2</v>
      </c>
      <c r="M770">
        <v>938</v>
      </c>
      <c r="P770" s="3"/>
    </row>
    <row r="771" spans="1:16" x14ac:dyDescent="0.3">
      <c r="A771" t="s">
        <v>131</v>
      </c>
      <c r="B771" t="s">
        <v>789</v>
      </c>
      <c r="C771">
        <v>0</v>
      </c>
      <c r="D771">
        <v>0</v>
      </c>
      <c r="E771">
        <v>14</v>
      </c>
      <c r="F771">
        <v>0</v>
      </c>
      <c r="G771">
        <v>0</v>
      </c>
      <c r="H771">
        <v>0</v>
      </c>
      <c r="I771">
        <v>0</v>
      </c>
      <c r="J771">
        <v>0</v>
      </c>
      <c r="K771">
        <v>0</v>
      </c>
      <c r="L771">
        <v>0</v>
      </c>
      <c r="M771">
        <v>14</v>
      </c>
      <c r="P771" s="4"/>
    </row>
    <row r="772" spans="1:16" x14ac:dyDescent="0.3">
      <c r="A772" t="s">
        <v>131</v>
      </c>
      <c r="B772" t="s">
        <v>790</v>
      </c>
      <c r="C772">
        <v>0</v>
      </c>
      <c r="D772">
        <v>0</v>
      </c>
      <c r="E772">
        <v>0</v>
      </c>
      <c r="F772">
        <v>16</v>
      </c>
      <c r="G772">
        <v>52</v>
      </c>
      <c r="H772">
        <v>19</v>
      </c>
      <c r="I772">
        <v>0</v>
      </c>
      <c r="J772">
        <v>0</v>
      </c>
      <c r="K772">
        <v>299</v>
      </c>
      <c r="L772">
        <v>766</v>
      </c>
      <c r="M772">
        <v>1152</v>
      </c>
      <c r="P772" s="3"/>
    </row>
    <row r="773" spans="1:16" x14ac:dyDescent="0.3">
      <c r="A773" t="s">
        <v>131</v>
      </c>
      <c r="B773" t="s">
        <v>791</v>
      </c>
      <c r="C773">
        <v>0</v>
      </c>
      <c r="D773">
        <v>0</v>
      </c>
      <c r="E773">
        <v>0</v>
      </c>
      <c r="F773">
        <v>0</v>
      </c>
      <c r="G773">
        <v>0</v>
      </c>
      <c r="H773">
        <v>0</v>
      </c>
      <c r="I773">
        <v>28</v>
      </c>
      <c r="J773">
        <v>173</v>
      </c>
      <c r="K773">
        <v>433</v>
      </c>
      <c r="L773">
        <v>195</v>
      </c>
      <c r="M773">
        <v>829</v>
      </c>
      <c r="P773" s="4"/>
    </row>
    <row r="774" spans="1:16" x14ac:dyDescent="0.3">
      <c r="A774" t="s">
        <v>131</v>
      </c>
      <c r="B774" t="s">
        <v>792</v>
      </c>
      <c r="C774">
        <v>0</v>
      </c>
      <c r="D774">
        <v>0</v>
      </c>
      <c r="E774">
        <v>0</v>
      </c>
      <c r="F774">
        <v>8</v>
      </c>
      <c r="G774">
        <v>167</v>
      </c>
      <c r="H774">
        <v>162</v>
      </c>
      <c r="I774">
        <v>396</v>
      </c>
      <c r="J774">
        <v>854</v>
      </c>
      <c r="K774">
        <v>1810</v>
      </c>
      <c r="L774">
        <v>1280</v>
      </c>
      <c r="M774">
        <v>4677</v>
      </c>
      <c r="P774" s="3"/>
    </row>
    <row r="775" spans="1:16" x14ac:dyDescent="0.3">
      <c r="A775" t="s">
        <v>136</v>
      </c>
      <c r="B775" t="s">
        <v>792</v>
      </c>
      <c r="C775">
        <v>0</v>
      </c>
      <c r="D775">
        <v>0</v>
      </c>
      <c r="E775">
        <v>0</v>
      </c>
      <c r="F775">
        <v>0</v>
      </c>
      <c r="G775">
        <v>0</v>
      </c>
      <c r="H775">
        <v>1</v>
      </c>
      <c r="I775">
        <v>0</v>
      </c>
      <c r="J775">
        <v>0</v>
      </c>
      <c r="K775">
        <v>0</v>
      </c>
      <c r="L775">
        <v>0</v>
      </c>
      <c r="M775">
        <v>1</v>
      </c>
      <c r="P775" s="4"/>
    </row>
    <row r="776" spans="1:16" x14ac:dyDescent="0.3">
      <c r="A776" t="s">
        <v>131</v>
      </c>
      <c r="B776" t="s">
        <v>793</v>
      </c>
      <c r="C776">
        <v>0</v>
      </c>
      <c r="D776">
        <v>0</v>
      </c>
      <c r="E776">
        <v>0</v>
      </c>
      <c r="F776">
        <v>0</v>
      </c>
      <c r="G776">
        <v>54</v>
      </c>
      <c r="H776">
        <v>25</v>
      </c>
      <c r="I776">
        <v>6</v>
      </c>
      <c r="J776">
        <v>39</v>
      </c>
      <c r="K776">
        <v>64</v>
      </c>
      <c r="L776">
        <v>65</v>
      </c>
      <c r="M776">
        <v>253</v>
      </c>
      <c r="P776" s="3"/>
    </row>
    <row r="777" spans="1:16" x14ac:dyDescent="0.3">
      <c r="A777" t="s">
        <v>131</v>
      </c>
      <c r="B777" t="s">
        <v>794</v>
      </c>
      <c r="C777">
        <v>0</v>
      </c>
      <c r="D777">
        <v>0</v>
      </c>
      <c r="E777">
        <v>0</v>
      </c>
      <c r="F777">
        <v>0</v>
      </c>
      <c r="G777">
        <v>0</v>
      </c>
      <c r="H777">
        <v>4</v>
      </c>
      <c r="I777">
        <v>2</v>
      </c>
      <c r="J777">
        <v>14</v>
      </c>
      <c r="K777">
        <v>4</v>
      </c>
      <c r="L777">
        <v>0</v>
      </c>
      <c r="M777">
        <v>24</v>
      </c>
      <c r="P777" s="4"/>
    </row>
    <row r="778" spans="1:16" x14ac:dyDescent="0.3">
      <c r="A778" t="s">
        <v>131</v>
      </c>
      <c r="B778" t="s">
        <v>795</v>
      </c>
      <c r="C778">
        <v>0</v>
      </c>
      <c r="D778">
        <v>0</v>
      </c>
      <c r="E778">
        <v>0</v>
      </c>
      <c r="F778">
        <v>0</v>
      </c>
      <c r="G778">
        <v>0</v>
      </c>
      <c r="H778">
        <v>0</v>
      </c>
      <c r="I778">
        <v>0</v>
      </c>
      <c r="J778">
        <v>2</v>
      </c>
      <c r="K778">
        <v>27</v>
      </c>
      <c r="L778">
        <v>35</v>
      </c>
      <c r="M778">
        <v>64</v>
      </c>
      <c r="P778" s="3"/>
    </row>
    <row r="779" spans="1:16" x14ac:dyDescent="0.3">
      <c r="A779" t="s">
        <v>133</v>
      </c>
      <c r="B779" t="s">
        <v>796</v>
      </c>
      <c r="C779">
        <v>0</v>
      </c>
      <c r="D779">
        <v>0</v>
      </c>
      <c r="E779">
        <v>0</v>
      </c>
      <c r="F779">
        <v>0</v>
      </c>
      <c r="G779">
        <v>0</v>
      </c>
      <c r="H779">
        <v>0</v>
      </c>
      <c r="I779">
        <v>0</v>
      </c>
      <c r="J779">
        <v>84</v>
      </c>
      <c r="K779">
        <v>147</v>
      </c>
      <c r="L779">
        <v>90</v>
      </c>
      <c r="M779">
        <v>321</v>
      </c>
      <c r="P779" s="4"/>
    </row>
    <row r="780" spans="1:16" x14ac:dyDescent="0.3">
      <c r="A780" t="s">
        <v>136</v>
      </c>
      <c r="B780" t="s">
        <v>797</v>
      </c>
      <c r="C780">
        <v>8</v>
      </c>
      <c r="D780">
        <v>11</v>
      </c>
      <c r="E780">
        <v>8</v>
      </c>
      <c r="F780">
        <v>2</v>
      </c>
      <c r="G780">
        <v>1</v>
      </c>
      <c r="H780">
        <v>0</v>
      </c>
      <c r="I780">
        <v>0</v>
      </c>
      <c r="J780">
        <v>0</v>
      </c>
      <c r="K780">
        <v>0</v>
      </c>
      <c r="L780">
        <v>0</v>
      </c>
      <c r="M780">
        <v>30</v>
      </c>
      <c r="P780" s="3"/>
    </row>
    <row r="781" spans="1:16" x14ac:dyDescent="0.3">
      <c r="A781" t="s">
        <v>133</v>
      </c>
      <c r="B781" t="s">
        <v>798</v>
      </c>
      <c r="C781">
        <v>0</v>
      </c>
      <c r="D781">
        <v>0</v>
      </c>
      <c r="E781">
        <v>0</v>
      </c>
      <c r="F781">
        <v>0</v>
      </c>
      <c r="G781">
        <v>0</v>
      </c>
      <c r="H781">
        <v>0</v>
      </c>
      <c r="I781">
        <v>0</v>
      </c>
      <c r="J781">
        <v>0</v>
      </c>
      <c r="K781">
        <v>1</v>
      </c>
      <c r="L781">
        <v>1</v>
      </c>
      <c r="M781">
        <v>2</v>
      </c>
      <c r="P781" s="4"/>
    </row>
    <row r="782" spans="1:16" x14ac:dyDescent="0.3">
      <c r="A782" t="s">
        <v>131</v>
      </c>
      <c r="B782" t="s">
        <v>799</v>
      </c>
      <c r="C782">
        <v>1</v>
      </c>
      <c r="D782">
        <v>0</v>
      </c>
      <c r="E782">
        <v>0</v>
      </c>
      <c r="F782">
        <v>0</v>
      </c>
      <c r="G782">
        <v>0</v>
      </c>
      <c r="H782">
        <v>0</v>
      </c>
      <c r="I782">
        <v>0</v>
      </c>
      <c r="J782">
        <v>0</v>
      </c>
      <c r="K782">
        <v>0</v>
      </c>
      <c r="L782">
        <v>0</v>
      </c>
      <c r="M782">
        <v>1</v>
      </c>
      <c r="P782" s="3"/>
    </row>
    <row r="783" spans="1:16" x14ac:dyDescent="0.3">
      <c r="A783" t="s">
        <v>131</v>
      </c>
      <c r="B783" t="s">
        <v>800</v>
      </c>
      <c r="C783">
        <v>0</v>
      </c>
      <c r="D783">
        <v>0</v>
      </c>
      <c r="E783">
        <v>3</v>
      </c>
      <c r="F783">
        <v>0</v>
      </c>
      <c r="G783">
        <v>15</v>
      </c>
      <c r="H783">
        <v>1</v>
      </c>
      <c r="I783">
        <v>0</v>
      </c>
      <c r="J783">
        <v>0</v>
      </c>
      <c r="K783">
        <v>0</v>
      </c>
      <c r="L783">
        <v>0</v>
      </c>
      <c r="M783">
        <v>19</v>
      </c>
      <c r="P783" s="4"/>
    </row>
    <row r="784" spans="1:16" x14ac:dyDescent="0.3">
      <c r="A784" t="s">
        <v>133</v>
      </c>
      <c r="B784" t="s">
        <v>801</v>
      </c>
      <c r="C784">
        <v>0</v>
      </c>
      <c r="D784">
        <v>0</v>
      </c>
      <c r="E784">
        <v>0</v>
      </c>
      <c r="F784">
        <v>0</v>
      </c>
      <c r="G784">
        <v>0</v>
      </c>
      <c r="H784">
        <v>0</v>
      </c>
      <c r="I784">
        <v>0</v>
      </c>
      <c r="J784">
        <v>0</v>
      </c>
      <c r="K784">
        <v>128</v>
      </c>
      <c r="L784">
        <v>154</v>
      </c>
      <c r="M784">
        <v>282</v>
      </c>
      <c r="P784" s="3"/>
    </row>
    <row r="785" spans="1:16" x14ac:dyDescent="0.3">
      <c r="A785" t="s">
        <v>136</v>
      </c>
      <c r="B785" t="s">
        <v>802</v>
      </c>
      <c r="C785">
        <v>1</v>
      </c>
      <c r="D785">
        <v>0</v>
      </c>
      <c r="E785">
        <v>0</v>
      </c>
      <c r="F785">
        <v>0</v>
      </c>
      <c r="G785">
        <v>0</v>
      </c>
      <c r="H785">
        <v>0</v>
      </c>
      <c r="I785">
        <v>0</v>
      </c>
      <c r="J785">
        <v>0</v>
      </c>
      <c r="K785">
        <v>0</v>
      </c>
      <c r="L785">
        <v>0</v>
      </c>
      <c r="M785">
        <v>1</v>
      </c>
      <c r="P785" s="4"/>
    </row>
    <row r="786" spans="1:16" x14ac:dyDescent="0.3">
      <c r="A786" t="s">
        <v>136</v>
      </c>
      <c r="B786" t="s">
        <v>803</v>
      </c>
      <c r="C786">
        <v>0</v>
      </c>
      <c r="D786">
        <v>0</v>
      </c>
      <c r="E786">
        <v>0</v>
      </c>
      <c r="F786">
        <v>0</v>
      </c>
      <c r="G786">
        <v>0</v>
      </c>
      <c r="H786">
        <v>10</v>
      </c>
      <c r="I786">
        <v>26</v>
      </c>
      <c r="J786">
        <v>60</v>
      </c>
      <c r="K786">
        <v>322</v>
      </c>
      <c r="L786">
        <v>316</v>
      </c>
      <c r="M786">
        <v>734</v>
      </c>
      <c r="P786" s="3"/>
    </row>
    <row r="787" spans="1:16" x14ac:dyDescent="0.3">
      <c r="A787" t="s">
        <v>136</v>
      </c>
      <c r="B787" t="s">
        <v>804</v>
      </c>
      <c r="C787">
        <v>0</v>
      </c>
      <c r="D787">
        <v>0</v>
      </c>
      <c r="E787">
        <v>0</v>
      </c>
      <c r="F787">
        <v>0</v>
      </c>
      <c r="G787">
        <v>0</v>
      </c>
      <c r="H787">
        <v>0</v>
      </c>
      <c r="I787">
        <v>0</v>
      </c>
      <c r="J787">
        <v>94</v>
      </c>
      <c r="K787">
        <v>193</v>
      </c>
      <c r="L787">
        <v>112</v>
      </c>
      <c r="M787">
        <v>399</v>
      </c>
      <c r="P787" s="4"/>
    </row>
    <row r="788" spans="1:16" x14ac:dyDescent="0.3">
      <c r="A788" t="s">
        <v>133</v>
      </c>
      <c r="B788" t="s">
        <v>805</v>
      </c>
      <c r="C788">
        <v>0</v>
      </c>
      <c r="D788">
        <v>0</v>
      </c>
      <c r="E788">
        <v>0</v>
      </c>
      <c r="F788">
        <v>0</v>
      </c>
      <c r="G788">
        <v>0</v>
      </c>
      <c r="H788">
        <v>57</v>
      </c>
      <c r="I788">
        <v>1842</v>
      </c>
      <c r="J788">
        <v>3215</v>
      </c>
      <c r="K788">
        <v>195</v>
      </c>
      <c r="L788">
        <v>6</v>
      </c>
      <c r="M788">
        <v>5315</v>
      </c>
      <c r="P788" s="3"/>
    </row>
    <row r="789" spans="1:16" x14ac:dyDescent="0.3">
      <c r="A789" t="s">
        <v>131</v>
      </c>
      <c r="B789" t="s">
        <v>806</v>
      </c>
      <c r="C789">
        <v>0</v>
      </c>
      <c r="D789">
        <v>0</v>
      </c>
      <c r="E789">
        <v>1</v>
      </c>
      <c r="F789">
        <v>0</v>
      </c>
      <c r="G789">
        <v>0</v>
      </c>
      <c r="H789">
        <v>0</v>
      </c>
      <c r="I789">
        <v>0</v>
      </c>
      <c r="J789">
        <v>0</v>
      </c>
      <c r="K789">
        <v>0</v>
      </c>
      <c r="L789">
        <v>0</v>
      </c>
      <c r="M789">
        <v>1</v>
      </c>
      <c r="P789" s="4"/>
    </row>
    <row r="790" spans="1:16" x14ac:dyDescent="0.3">
      <c r="A790" t="s">
        <v>136</v>
      </c>
      <c r="B790" t="s">
        <v>806</v>
      </c>
      <c r="C790">
        <v>0</v>
      </c>
      <c r="D790">
        <v>0</v>
      </c>
      <c r="E790">
        <v>0</v>
      </c>
      <c r="F790">
        <v>0</v>
      </c>
      <c r="G790">
        <v>7</v>
      </c>
      <c r="H790">
        <v>772</v>
      </c>
      <c r="I790">
        <v>2384</v>
      </c>
      <c r="J790">
        <v>3430</v>
      </c>
      <c r="K790">
        <v>9520</v>
      </c>
      <c r="L790">
        <v>7229</v>
      </c>
      <c r="M790">
        <v>23342</v>
      </c>
      <c r="P790" s="3"/>
    </row>
    <row r="791" spans="1:16" x14ac:dyDescent="0.3">
      <c r="A791" t="s">
        <v>133</v>
      </c>
      <c r="B791" t="s">
        <v>807</v>
      </c>
      <c r="C791">
        <v>0</v>
      </c>
      <c r="D791">
        <v>0</v>
      </c>
      <c r="E791">
        <v>0</v>
      </c>
      <c r="F791">
        <v>0</v>
      </c>
      <c r="G791">
        <v>0</v>
      </c>
      <c r="H791">
        <v>0</v>
      </c>
      <c r="I791">
        <v>0</v>
      </c>
      <c r="J791">
        <v>0</v>
      </c>
      <c r="K791">
        <v>2</v>
      </c>
      <c r="L791">
        <v>2</v>
      </c>
      <c r="M791">
        <v>4</v>
      </c>
      <c r="P791" s="4"/>
    </row>
    <row r="792" spans="1:16" x14ac:dyDescent="0.3">
      <c r="A792" t="s">
        <v>133</v>
      </c>
      <c r="B792" t="s">
        <v>808</v>
      </c>
      <c r="C792">
        <v>0</v>
      </c>
      <c r="D792">
        <v>0</v>
      </c>
      <c r="E792">
        <v>0</v>
      </c>
      <c r="F792">
        <v>0</v>
      </c>
      <c r="G792">
        <v>0</v>
      </c>
      <c r="H792">
        <v>0</v>
      </c>
      <c r="I792">
        <v>94</v>
      </c>
      <c r="J792">
        <v>0</v>
      </c>
      <c r="K792">
        <v>0</v>
      </c>
      <c r="L792">
        <v>0</v>
      </c>
      <c r="M792">
        <v>94</v>
      </c>
      <c r="P792" s="3"/>
    </row>
    <row r="793" spans="1:16" x14ac:dyDescent="0.3">
      <c r="A793" t="s">
        <v>131</v>
      </c>
      <c r="B793" t="s">
        <v>809</v>
      </c>
      <c r="C793">
        <v>0</v>
      </c>
      <c r="D793">
        <v>0</v>
      </c>
      <c r="E793">
        <v>0</v>
      </c>
      <c r="F793">
        <v>0</v>
      </c>
      <c r="G793">
        <v>0</v>
      </c>
      <c r="H793">
        <v>0</v>
      </c>
      <c r="I793">
        <v>0</v>
      </c>
      <c r="J793">
        <v>0</v>
      </c>
      <c r="K793">
        <v>7</v>
      </c>
      <c r="L793">
        <v>10</v>
      </c>
      <c r="M793">
        <v>17</v>
      </c>
      <c r="P793" s="4"/>
    </row>
    <row r="794" spans="1:16" x14ac:dyDescent="0.3">
      <c r="A794" t="s">
        <v>131</v>
      </c>
      <c r="B794" t="s">
        <v>810</v>
      </c>
      <c r="C794">
        <v>6</v>
      </c>
      <c r="D794">
        <v>681</v>
      </c>
      <c r="E794">
        <v>1695</v>
      </c>
      <c r="F794">
        <v>148</v>
      </c>
      <c r="G794">
        <v>87</v>
      </c>
      <c r="H794">
        <v>94</v>
      </c>
      <c r="I794">
        <v>221</v>
      </c>
      <c r="J794">
        <v>362</v>
      </c>
      <c r="K794">
        <v>97</v>
      </c>
      <c r="L794">
        <v>0</v>
      </c>
      <c r="M794">
        <v>3391</v>
      </c>
      <c r="P794" s="3"/>
    </row>
    <row r="795" spans="1:16" x14ac:dyDescent="0.3">
      <c r="A795" t="s">
        <v>133</v>
      </c>
      <c r="B795" t="s">
        <v>811</v>
      </c>
      <c r="C795">
        <v>0</v>
      </c>
      <c r="D795">
        <v>0</v>
      </c>
      <c r="E795">
        <v>0</v>
      </c>
      <c r="F795">
        <v>0</v>
      </c>
      <c r="G795">
        <v>0</v>
      </c>
      <c r="H795">
        <v>0</v>
      </c>
      <c r="I795">
        <v>0</v>
      </c>
      <c r="J795">
        <v>1</v>
      </c>
      <c r="K795">
        <v>0</v>
      </c>
      <c r="L795">
        <v>0</v>
      </c>
      <c r="M795">
        <v>1</v>
      </c>
      <c r="P795" s="4"/>
    </row>
    <row r="796" spans="1:16" x14ac:dyDescent="0.3">
      <c r="A796" t="s">
        <v>131</v>
      </c>
      <c r="B796" t="s">
        <v>811</v>
      </c>
      <c r="C796">
        <v>0</v>
      </c>
      <c r="D796">
        <v>125</v>
      </c>
      <c r="E796">
        <v>599</v>
      </c>
      <c r="F796">
        <v>2513</v>
      </c>
      <c r="G796">
        <v>2265</v>
      </c>
      <c r="H796">
        <v>1754</v>
      </c>
      <c r="I796">
        <v>3447</v>
      </c>
      <c r="J796">
        <v>10487</v>
      </c>
      <c r="K796">
        <v>15962</v>
      </c>
      <c r="L796">
        <v>7092</v>
      </c>
      <c r="M796">
        <v>44244</v>
      </c>
      <c r="P796" s="3"/>
    </row>
    <row r="797" spans="1:16" x14ac:dyDescent="0.3">
      <c r="A797" t="s">
        <v>136</v>
      </c>
      <c r="B797" t="s">
        <v>811</v>
      </c>
      <c r="C797">
        <v>0</v>
      </c>
      <c r="D797">
        <v>0</v>
      </c>
      <c r="E797">
        <v>0</v>
      </c>
      <c r="F797">
        <v>1</v>
      </c>
      <c r="G797">
        <v>0</v>
      </c>
      <c r="H797">
        <v>2</v>
      </c>
      <c r="I797">
        <v>0</v>
      </c>
      <c r="J797">
        <v>1</v>
      </c>
      <c r="K797">
        <v>1</v>
      </c>
      <c r="L797">
        <v>0</v>
      </c>
      <c r="M797">
        <v>5</v>
      </c>
      <c r="P797" s="4"/>
    </row>
    <row r="798" spans="1:16" x14ac:dyDescent="0.3">
      <c r="A798" t="s">
        <v>133</v>
      </c>
      <c r="B798" t="s">
        <v>812</v>
      </c>
      <c r="C798">
        <v>0</v>
      </c>
      <c r="D798">
        <v>0</v>
      </c>
      <c r="E798">
        <v>0</v>
      </c>
      <c r="F798">
        <v>0</v>
      </c>
      <c r="G798">
        <v>0</v>
      </c>
      <c r="H798">
        <v>0</v>
      </c>
      <c r="I798">
        <v>0</v>
      </c>
      <c r="J798">
        <v>18</v>
      </c>
      <c r="K798">
        <v>102</v>
      </c>
      <c r="L798">
        <v>12</v>
      </c>
      <c r="M798">
        <v>132</v>
      </c>
      <c r="P798" s="3"/>
    </row>
    <row r="799" spans="1:16" x14ac:dyDescent="0.3">
      <c r="A799" t="s">
        <v>131</v>
      </c>
      <c r="B799" t="s">
        <v>813</v>
      </c>
      <c r="C799">
        <v>0</v>
      </c>
      <c r="D799">
        <v>0</v>
      </c>
      <c r="E799">
        <v>1</v>
      </c>
      <c r="F799">
        <v>0</v>
      </c>
      <c r="G799">
        <v>0</v>
      </c>
      <c r="H799">
        <v>0</v>
      </c>
      <c r="I799">
        <v>0</v>
      </c>
      <c r="J799">
        <v>0</v>
      </c>
      <c r="K799">
        <v>0</v>
      </c>
      <c r="L799">
        <v>0</v>
      </c>
      <c r="M799">
        <v>1</v>
      </c>
      <c r="P799" s="4"/>
    </row>
    <row r="800" spans="1:16" x14ac:dyDescent="0.3">
      <c r="A800" t="s">
        <v>131</v>
      </c>
      <c r="B800" t="s">
        <v>814</v>
      </c>
      <c r="C800">
        <v>0</v>
      </c>
      <c r="D800">
        <v>0</v>
      </c>
      <c r="E800">
        <v>0</v>
      </c>
      <c r="F800">
        <v>0</v>
      </c>
      <c r="G800">
        <v>0</v>
      </c>
      <c r="H800">
        <v>5</v>
      </c>
      <c r="I800">
        <v>35</v>
      </c>
      <c r="J800">
        <v>23</v>
      </c>
      <c r="K800">
        <v>70</v>
      </c>
      <c r="L800">
        <v>143</v>
      </c>
      <c r="M800">
        <v>276</v>
      </c>
      <c r="P800" s="3"/>
    </row>
    <row r="801" spans="1:16" x14ac:dyDescent="0.3">
      <c r="A801" t="s">
        <v>136</v>
      </c>
      <c r="B801" t="s">
        <v>814</v>
      </c>
      <c r="C801">
        <v>0</v>
      </c>
      <c r="D801">
        <v>0</v>
      </c>
      <c r="E801">
        <v>0</v>
      </c>
      <c r="F801">
        <v>0</v>
      </c>
      <c r="G801">
        <v>0</v>
      </c>
      <c r="H801">
        <v>0</v>
      </c>
      <c r="I801">
        <v>0</v>
      </c>
      <c r="J801">
        <v>0</v>
      </c>
      <c r="K801">
        <v>0</v>
      </c>
      <c r="L801">
        <v>13</v>
      </c>
      <c r="M801">
        <v>13</v>
      </c>
      <c r="P801" s="4"/>
    </row>
    <row r="802" spans="1:16" x14ac:dyDescent="0.3">
      <c r="A802" t="s">
        <v>133</v>
      </c>
      <c r="B802" t="s">
        <v>815</v>
      </c>
      <c r="C802">
        <v>0</v>
      </c>
      <c r="D802">
        <v>0</v>
      </c>
      <c r="E802">
        <v>0</v>
      </c>
      <c r="F802">
        <v>0</v>
      </c>
      <c r="G802">
        <v>0</v>
      </c>
      <c r="H802">
        <v>0</v>
      </c>
      <c r="I802">
        <v>0</v>
      </c>
      <c r="J802">
        <v>0</v>
      </c>
      <c r="K802">
        <v>19</v>
      </c>
      <c r="L802">
        <v>30</v>
      </c>
      <c r="M802">
        <v>49</v>
      </c>
      <c r="P802" s="3"/>
    </row>
    <row r="803" spans="1:16" x14ac:dyDescent="0.3">
      <c r="A803" t="s">
        <v>131</v>
      </c>
      <c r="B803" t="s">
        <v>816</v>
      </c>
      <c r="C803">
        <v>0</v>
      </c>
      <c r="D803">
        <v>0</v>
      </c>
      <c r="E803">
        <v>0</v>
      </c>
      <c r="F803">
        <v>17</v>
      </c>
      <c r="G803">
        <v>56</v>
      </c>
      <c r="H803">
        <v>77</v>
      </c>
      <c r="I803">
        <v>39</v>
      </c>
      <c r="J803">
        <v>26</v>
      </c>
      <c r="K803">
        <v>43</v>
      </c>
      <c r="L803">
        <v>31</v>
      </c>
      <c r="M803">
        <v>289</v>
      </c>
      <c r="P803" s="4"/>
    </row>
    <row r="804" spans="1:16" x14ac:dyDescent="0.3">
      <c r="A804" t="s">
        <v>131</v>
      </c>
      <c r="B804" t="s">
        <v>817</v>
      </c>
      <c r="C804">
        <v>0</v>
      </c>
      <c r="D804">
        <v>0</v>
      </c>
      <c r="E804">
        <v>0</v>
      </c>
      <c r="F804">
        <v>0</v>
      </c>
      <c r="G804">
        <v>0</v>
      </c>
      <c r="H804">
        <v>0</v>
      </c>
      <c r="I804">
        <v>0</v>
      </c>
      <c r="J804">
        <v>0</v>
      </c>
      <c r="K804">
        <v>0</v>
      </c>
      <c r="L804">
        <v>210</v>
      </c>
      <c r="M804">
        <v>210</v>
      </c>
      <c r="P804" s="3"/>
    </row>
    <row r="805" spans="1:16" x14ac:dyDescent="0.3">
      <c r="A805" t="s">
        <v>131</v>
      </c>
      <c r="B805" t="s">
        <v>818</v>
      </c>
      <c r="C805">
        <v>0</v>
      </c>
      <c r="D805">
        <v>0</v>
      </c>
      <c r="E805">
        <v>0</v>
      </c>
      <c r="F805">
        <v>0</v>
      </c>
      <c r="G805">
        <v>0</v>
      </c>
      <c r="H805">
        <v>61</v>
      </c>
      <c r="I805">
        <v>68</v>
      </c>
      <c r="J805">
        <v>2</v>
      </c>
      <c r="K805">
        <v>77</v>
      </c>
      <c r="L805">
        <v>38</v>
      </c>
      <c r="M805">
        <v>246</v>
      </c>
      <c r="P805" s="4"/>
    </row>
    <row r="806" spans="1:16" x14ac:dyDescent="0.3">
      <c r="A806" t="s">
        <v>131</v>
      </c>
      <c r="B806" t="s">
        <v>819</v>
      </c>
      <c r="C806">
        <v>0</v>
      </c>
      <c r="D806">
        <v>0</v>
      </c>
      <c r="E806">
        <v>3</v>
      </c>
      <c r="F806">
        <v>0</v>
      </c>
      <c r="G806">
        <v>0</v>
      </c>
      <c r="H806">
        <v>0</v>
      </c>
      <c r="I806">
        <v>0</v>
      </c>
      <c r="J806">
        <v>0</v>
      </c>
      <c r="K806">
        <v>0</v>
      </c>
      <c r="L806">
        <v>0</v>
      </c>
      <c r="M806">
        <v>3</v>
      </c>
      <c r="P806" s="3"/>
    </row>
    <row r="807" spans="1:16" x14ac:dyDescent="0.3">
      <c r="A807" t="s">
        <v>131</v>
      </c>
      <c r="B807" t="s">
        <v>820</v>
      </c>
      <c r="C807">
        <v>0</v>
      </c>
      <c r="D807">
        <v>0</v>
      </c>
      <c r="E807">
        <v>0</v>
      </c>
      <c r="F807">
        <v>102</v>
      </c>
      <c r="G807">
        <v>33</v>
      </c>
      <c r="H807">
        <v>1</v>
      </c>
      <c r="I807">
        <v>0</v>
      </c>
      <c r="J807">
        <v>0</v>
      </c>
      <c r="K807">
        <v>0</v>
      </c>
      <c r="L807">
        <v>0</v>
      </c>
      <c r="M807">
        <v>136</v>
      </c>
      <c r="P807" s="4"/>
    </row>
    <row r="808" spans="1:16" x14ac:dyDescent="0.3">
      <c r="A808" t="s">
        <v>136</v>
      </c>
      <c r="B808" t="s">
        <v>820</v>
      </c>
      <c r="C808">
        <v>0</v>
      </c>
      <c r="D808">
        <v>0</v>
      </c>
      <c r="E808">
        <v>0</v>
      </c>
      <c r="F808">
        <v>0</v>
      </c>
      <c r="G808">
        <v>1</v>
      </c>
      <c r="H808">
        <v>0</v>
      </c>
      <c r="I808">
        <v>0</v>
      </c>
      <c r="J808">
        <v>0</v>
      </c>
      <c r="K808">
        <v>0</v>
      </c>
      <c r="L808">
        <v>0</v>
      </c>
      <c r="M808">
        <v>1</v>
      </c>
      <c r="P808" s="3"/>
    </row>
    <row r="809" spans="1:16" x14ac:dyDescent="0.3">
      <c r="A809" t="s">
        <v>136</v>
      </c>
      <c r="B809" t="s">
        <v>821</v>
      </c>
      <c r="C809">
        <v>0</v>
      </c>
      <c r="D809">
        <v>0</v>
      </c>
      <c r="E809">
        <v>0</v>
      </c>
      <c r="F809">
        <v>0</v>
      </c>
      <c r="G809">
        <v>0</v>
      </c>
      <c r="H809">
        <v>0</v>
      </c>
      <c r="I809">
        <v>0</v>
      </c>
      <c r="J809">
        <v>8</v>
      </c>
      <c r="K809">
        <v>0</v>
      </c>
      <c r="L809">
        <v>0</v>
      </c>
      <c r="M809">
        <v>8</v>
      </c>
      <c r="P809" s="4"/>
    </row>
    <row r="810" spans="1:16" x14ac:dyDescent="0.3">
      <c r="A810" t="s">
        <v>133</v>
      </c>
      <c r="B810" t="s">
        <v>822</v>
      </c>
      <c r="C810">
        <v>0</v>
      </c>
      <c r="D810">
        <v>0</v>
      </c>
      <c r="E810">
        <v>0</v>
      </c>
      <c r="F810">
        <v>0</v>
      </c>
      <c r="G810">
        <v>0</v>
      </c>
      <c r="H810">
        <v>0</v>
      </c>
      <c r="I810">
        <v>0</v>
      </c>
      <c r="J810">
        <v>0</v>
      </c>
      <c r="K810">
        <v>0</v>
      </c>
      <c r="L810">
        <v>14</v>
      </c>
      <c r="M810">
        <v>14</v>
      </c>
      <c r="P810" s="3"/>
    </row>
    <row r="811" spans="1:16" x14ac:dyDescent="0.3">
      <c r="A811" t="s">
        <v>131</v>
      </c>
      <c r="B811" t="s">
        <v>823</v>
      </c>
      <c r="C811">
        <v>0</v>
      </c>
      <c r="D811">
        <v>0</v>
      </c>
      <c r="E811">
        <v>0</v>
      </c>
      <c r="F811">
        <v>128</v>
      </c>
      <c r="G811">
        <v>132</v>
      </c>
      <c r="H811">
        <v>100</v>
      </c>
      <c r="I811">
        <v>111</v>
      </c>
      <c r="J811">
        <v>23</v>
      </c>
      <c r="K811">
        <v>0</v>
      </c>
      <c r="L811">
        <v>0</v>
      </c>
      <c r="M811">
        <v>494</v>
      </c>
      <c r="P811" s="4"/>
    </row>
    <row r="812" spans="1:16" x14ac:dyDescent="0.3">
      <c r="A812" t="s">
        <v>131</v>
      </c>
      <c r="B812" t="s">
        <v>824</v>
      </c>
      <c r="C812">
        <v>0</v>
      </c>
      <c r="D812">
        <v>0</v>
      </c>
      <c r="E812">
        <v>0</v>
      </c>
      <c r="F812">
        <v>0</v>
      </c>
      <c r="G812">
        <v>0</v>
      </c>
      <c r="H812">
        <v>0</v>
      </c>
      <c r="I812">
        <v>0</v>
      </c>
      <c r="J812">
        <v>825</v>
      </c>
      <c r="K812">
        <v>2965</v>
      </c>
      <c r="L812">
        <v>2297</v>
      </c>
      <c r="M812">
        <v>6087</v>
      </c>
      <c r="P812" s="3"/>
    </row>
    <row r="813" spans="1:16" x14ac:dyDescent="0.3">
      <c r="A813" t="s">
        <v>136</v>
      </c>
      <c r="B813" t="s">
        <v>825</v>
      </c>
      <c r="C813">
        <v>2</v>
      </c>
      <c r="D813">
        <v>0</v>
      </c>
      <c r="E813">
        <v>0</v>
      </c>
      <c r="F813">
        <v>0</v>
      </c>
      <c r="G813">
        <v>0</v>
      </c>
      <c r="H813">
        <v>0</v>
      </c>
      <c r="I813">
        <v>0</v>
      </c>
      <c r="J813">
        <v>0</v>
      </c>
      <c r="K813">
        <v>0</v>
      </c>
      <c r="L813">
        <v>0</v>
      </c>
      <c r="M813">
        <v>2</v>
      </c>
      <c r="P813" s="4"/>
    </row>
    <row r="814" spans="1:16" x14ac:dyDescent="0.3">
      <c r="A814" t="s">
        <v>131</v>
      </c>
      <c r="B814" t="s">
        <v>826</v>
      </c>
      <c r="C814">
        <v>0</v>
      </c>
      <c r="D814">
        <v>0</v>
      </c>
      <c r="E814">
        <v>0</v>
      </c>
      <c r="F814">
        <v>5</v>
      </c>
      <c r="G814">
        <v>18</v>
      </c>
      <c r="H814">
        <v>7</v>
      </c>
      <c r="I814">
        <v>10</v>
      </c>
      <c r="J814">
        <v>10</v>
      </c>
      <c r="K814">
        <v>0</v>
      </c>
      <c r="L814">
        <v>0</v>
      </c>
      <c r="M814">
        <v>50</v>
      </c>
      <c r="P814" s="3"/>
    </row>
    <row r="815" spans="1:16" x14ac:dyDescent="0.3">
      <c r="A815" t="s">
        <v>131</v>
      </c>
      <c r="B815" t="s">
        <v>827</v>
      </c>
      <c r="C815">
        <v>0</v>
      </c>
      <c r="D815">
        <v>0</v>
      </c>
      <c r="E815">
        <v>17</v>
      </c>
      <c r="F815">
        <v>0</v>
      </c>
      <c r="G815">
        <v>0</v>
      </c>
      <c r="H815">
        <v>0</v>
      </c>
      <c r="I815">
        <v>0</v>
      </c>
      <c r="J815">
        <v>0</v>
      </c>
      <c r="K815">
        <v>0</v>
      </c>
      <c r="L815">
        <v>0</v>
      </c>
      <c r="M815">
        <v>17</v>
      </c>
      <c r="P815" s="4"/>
    </row>
    <row r="816" spans="1:16" x14ac:dyDescent="0.3">
      <c r="A816" t="s">
        <v>136</v>
      </c>
      <c r="B816" t="s">
        <v>828</v>
      </c>
      <c r="C816">
        <v>1</v>
      </c>
      <c r="D816">
        <v>0</v>
      </c>
      <c r="E816">
        <v>0</v>
      </c>
      <c r="F816">
        <v>0</v>
      </c>
      <c r="G816">
        <v>0</v>
      </c>
      <c r="H816">
        <v>0</v>
      </c>
      <c r="I816">
        <v>0</v>
      </c>
      <c r="J816">
        <v>0</v>
      </c>
      <c r="K816">
        <v>0</v>
      </c>
      <c r="L816">
        <v>0</v>
      </c>
      <c r="M816">
        <v>1</v>
      </c>
      <c r="P816" s="3"/>
    </row>
    <row r="817" spans="1:16" x14ac:dyDescent="0.3">
      <c r="A817" t="s">
        <v>131</v>
      </c>
      <c r="B817" t="s">
        <v>829</v>
      </c>
      <c r="C817">
        <v>0</v>
      </c>
      <c r="D817">
        <v>0</v>
      </c>
      <c r="E817">
        <v>0</v>
      </c>
      <c r="F817">
        <v>0</v>
      </c>
      <c r="G817">
        <v>0</v>
      </c>
      <c r="H817">
        <v>0</v>
      </c>
      <c r="I817">
        <v>0</v>
      </c>
      <c r="J817">
        <v>1</v>
      </c>
      <c r="K817">
        <v>0</v>
      </c>
      <c r="L817">
        <v>5</v>
      </c>
      <c r="M817">
        <v>6</v>
      </c>
      <c r="P817" s="4"/>
    </row>
    <row r="818" spans="1:16" x14ac:dyDescent="0.3">
      <c r="A818" t="s">
        <v>131</v>
      </c>
      <c r="B818" t="s">
        <v>830</v>
      </c>
      <c r="C818">
        <v>0</v>
      </c>
      <c r="D818">
        <v>0</v>
      </c>
      <c r="E818">
        <v>0</v>
      </c>
      <c r="F818">
        <v>291</v>
      </c>
      <c r="G818">
        <v>232</v>
      </c>
      <c r="H818">
        <v>100</v>
      </c>
      <c r="I818">
        <v>288</v>
      </c>
      <c r="J818">
        <v>1723</v>
      </c>
      <c r="K818">
        <v>4925</v>
      </c>
      <c r="L818">
        <v>2796</v>
      </c>
      <c r="M818">
        <v>10355</v>
      </c>
      <c r="P818" s="3"/>
    </row>
    <row r="819" spans="1:16" x14ac:dyDescent="0.3">
      <c r="A819" t="s">
        <v>131</v>
      </c>
      <c r="B819" t="s">
        <v>831</v>
      </c>
      <c r="C819">
        <v>0</v>
      </c>
      <c r="D819">
        <v>29</v>
      </c>
      <c r="E819">
        <v>79</v>
      </c>
      <c r="F819">
        <v>86</v>
      </c>
      <c r="G819">
        <v>48</v>
      </c>
      <c r="H819">
        <v>6</v>
      </c>
      <c r="I819">
        <v>5</v>
      </c>
      <c r="J819">
        <v>12</v>
      </c>
      <c r="K819">
        <v>0</v>
      </c>
      <c r="L819">
        <v>0</v>
      </c>
      <c r="M819">
        <v>265</v>
      </c>
      <c r="P819" s="4"/>
    </row>
    <row r="820" spans="1:16" x14ac:dyDescent="0.3">
      <c r="A820" t="s">
        <v>131</v>
      </c>
      <c r="B820" t="s">
        <v>832</v>
      </c>
      <c r="C820">
        <v>0</v>
      </c>
      <c r="D820">
        <v>0</v>
      </c>
      <c r="E820">
        <v>0</v>
      </c>
      <c r="F820">
        <v>6</v>
      </c>
      <c r="G820">
        <v>91</v>
      </c>
      <c r="H820">
        <v>38</v>
      </c>
      <c r="I820">
        <v>9</v>
      </c>
      <c r="J820">
        <v>4</v>
      </c>
      <c r="K820">
        <v>5</v>
      </c>
      <c r="L820">
        <v>153</v>
      </c>
      <c r="M820">
        <v>306</v>
      </c>
      <c r="P820" s="3"/>
    </row>
    <row r="821" spans="1:16" x14ac:dyDescent="0.3">
      <c r="A821" t="s">
        <v>131</v>
      </c>
      <c r="B821" t="s">
        <v>833</v>
      </c>
      <c r="C821">
        <v>0</v>
      </c>
      <c r="D821">
        <v>0</v>
      </c>
      <c r="E821">
        <v>6</v>
      </c>
      <c r="F821">
        <v>13</v>
      </c>
      <c r="G821">
        <v>30</v>
      </c>
      <c r="H821">
        <v>0</v>
      </c>
      <c r="I821">
        <v>0</v>
      </c>
      <c r="J821">
        <v>0</v>
      </c>
      <c r="K821">
        <v>3</v>
      </c>
      <c r="L821">
        <v>0</v>
      </c>
      <c r="M821">
        <v>52</v>
      </c>
      <c r="P821" s="4"/>
    </row>
    <row r="822" spans="1:16" x14ac:dyDescent="0.3">
      <c r="A822" t="s">
        <v>131</v>
      </c>
      <c r="B822" t="s">
        <v>834</v>
      </c>
      <c r="C822">
        <v>0</v>
      </c>
      <c r="D822">
        <v>0</v>
      </c>
      <c r="E822">
        <v>31</v>
      </c>
      <c r="F822">
        <v>6</v>
      </c>
      <c r="G822">
        <v>0</v>
      </c>
      <c r="H822">
        <v>0</v>
      </c>
      <c r="I822">
        <v>0</v>
      </c>
      <c r="J822">
        <v>0</v>
      </c>
      <c r="K822">
        <v>0</v>
      </c>
      <c r="L822">
        <v>0</v>
      </c>
      <c r="M822">
        <v>37</v>
      </c>
      <c r="P822" s="3"/>
    </row>
    <row r="823" spans="1:16" x14ac:dyDescent="0.3">
      <c r="A823" t="s">
        <v>131</v>
      </c>
      <c r="B823" t="s">
        <v>835</v>
      </c>
      <c r="C823">
        <v>0</v>
      </c>
      <c r="D823">
        <v>0</v>
      </c>
      <c r="E823">
        <v>14</v>
      </c>
      <c r="F823">
        <v>7</v>
      </c>
      <c r="G823">
        <v>1</v>
      </c>
      <c r="H823">
        <v>0</v>
      </c>
      <c r="I823">
        <v>0</v>
      </c>
      <c r="J823">
        <v>0</v>
      </c>
      <c r="K823">
        <v>0</v>
      </c>
      <c r="L823">
        <v>0</v>
      </c>
      <c r="M823">
        <v>22</v>
      </c>
      <c r="P823" s="4"/>
    </row>
    <row r="824" spans="1:16" x14ac:dyDescent="0.3">
      <c r="A824" t="s">
        <v>131</v>
      </c>
      <c r="B824" t="s">
        <v>836</v>
      </c>
      <c r="C824">
        <v>0</v>
      </c>
      <c r="D824">
        <v>0</v>
      </c>
      <c r="E824">
        <v>0</v>
      </c>
      <c r="F824">
        <v>34</v>
      </c>
      <c r="G824">
        <v>12</v>
      </c>
      <c r="H824">
        <v>1</v>
      </c>
      <c r="I824">
        <v>0</v>
      </c>
      <c r="J824">
        <v>0</v>
      </c>
      <c r="K824">
        <v>4</v>
      </c>
      <c r="L824">
        <v>11</v>
      </c>
      <c r="M824">
        <v>62</v>
      </c>
      <c r="P824" s="3"/>
    </row>
    <row r="825" spans="1:16" x14ac:dyDescent="0.3">
      <c r="A825" t="s">
        <v>131</v>
      </c>
      <c r="B825" t="s">
        <v>837</v>
      </c>
      <c r="C825">
        <v>0</v>
      </c>
      <c r="D825">
        <v>0</v>
      </c>
      <c r="E825">
        <v>31</v>
      </c>
      <c r="F825">
        <v>29</v>
      </c>
      <c r="G825">
        <v>13</v>
      </c>
      <c r="H825">
        <v>0</v>
      </c>
      <c r="I825">
        <v>2</v>
      </c>
      <c r="J825">
        <v>0</v>
      </c>
      <c r="K825">
        <v>0</v>
      </c>
      <c r="L825">
        <v>0</v>
      </c>
      <c r="M825">
        <v>75</v>
      </c>
      <c r="P825" s="4"/>
    </row>
    <row r="826" spans="1:16" x14ac:dyDescent="0.3">
      <c r="A826" t="s">
        <v>136</v>
      </c>
      <c r="B826" t="s">
        <v>837</v>
      </c>
      <c r="C826">
        <v>0</v>
      </c>
      <c r="D826">
        <v>0</v>
      </c>
      <c r="E826">
        <v>0</v>
      </c>
      <c r="F826">
        <v>1</v>
      </c>
      <c r="G826">
        <v>0</v>
      </c>
      <c r="H826">
        <v>0</v>
      </c>
      <c r="I826">
        <v>0</v>
      </c>
      <c r="J826">
        <v>0</v>
      </c>
      <c r="K826">
        <v>0</v>
      </c>
      <c r="L826">
        <v>0</v>
      </c>
      <c r="M826">
        <v>1</v>
      </c>
      <c r="P826" s="3"/>
    </row>
    <row r="827" spans="1:16" x14ac:dyDescent="0.3">
      <c r="A827" t="s">
        <v>131</v>
      </c>
      <c r="B827" t="s">
        <v>838</v>
      </c>
      <c r="C827">
        <v>0</v>
      </c>
      <c r="D827">
        <v>0</v>
      </c>
      <c r="E827">
        <v>0</v>
      </c>
      <c r="F827">
        <v>0</v>
      </c>
      <c r="G827">
        <v>0</v>
      </c>
      <c r="H827">
        <v>0</v>
      </c>
      <c r="I827">
        <v>0</v>
      </c>
      <c r="J827">
        <v>4</v>
      </c>
      <c r="K827">
        <v>0</v>
      </c>
      <c r="L827">
        <v>0</v>
      </c>
      <c r="M827">
        <v>4</v>
      </c>
      <c r="P827" s="4"/>
    </row>
    <row r="828" spans="1:16" x14ac:dyDescent="0.3">
      <c r="A828" t="s">
        <v>133</v>
      </c>
      <c r="B828" t="s">
        <v>839</v>
      </c>
      <c r="C828">
        <v>0</v>
      </c>
      <c r="D828">
        <v>0</v>
      </c>
      <c r="E828">
        <v>0</v>
      </c>
      <c r="F828">
        <v>48</v>
      </c>
      <c r="G828">
        <v>648</v>
      </c>
      <c r="H828">
        <v>146</v>
      </c>
      <c r="I828">
        <v>96</v>
      </c>
      <c r="J828">
        <v>28</v>
      </c>
      <c r="K828">
        <v>7</v>
      </c>
      <c r="L828">
        <v>2</v>
      </c>
      <c r="M828">
        <v>975</v>
      </c>
      <c r="P828" s="3"/>
    </row>
    <row r="829" spans="1:16" x14ac:dyDescent="0.3">
      <c r="A829" t="s">
        <v>131</v>
      </c>
      <c r="B829" t="s">
        <v>840</v>
      </c>
      <c r="C829">
        <v>0</v>
      </c>
      <c r="D829">
        <v>42</v>
      </c>
      <c r="E829">
        <v>516</v>
      </c>
      <c r="F829">
        <v>573</v>
      </c>
      <c r="G829">
        <v>267</v>
      </c>
      <c r="H829">
        <v>148</v>
      </c>
      <c r="I829">
        <v>354</v>
      </c>
      <c r="J829">
        <v>542</v>
      </c>
      <c r="K829">
        <v>667</v>
      </c>
      <c r="L829">
        <v>357</v>
      </c>
      <c r="M829">
        <v>3466</v>
      </c>
      <c r="P829" s="4"/>
    </row>
    <row r="830" spans="1:16" x14ac:dyDescent="0.3">
      <c r="A830" t="s">
        <v>136</v>
      </c>
      <c r="B830" t="s">
        <v>840</v>
      </c>
      <c r="C830">
        <v>0</v>
      </c>
      <c r="D830">
        <v>10</v>
      </c>
      <c r="E830">
        <v>17</v>
      </c>
      <c r="F830">
        <v>5</v>
      </c>
      <c r="G830">
        <v>0</v>
      </c>
      <c r="H830">
        <v>0</v>
      </c>
      <c r="I830">
        <v>0</v>
      </c>
      <c r="J830">
        <v>0</v>
      </c>
      <c r="K830">
        <v>0</v>
      </c>
      <c r="L830">
        <v>0</v>
      </c>
      <c r="M830">
        <v>32</v>
      </c>
      <c r="P830" s="3"/>
    </row>
    <row r="831" spans="1:16" x14ac:dyDescent="0.3">
      <c r="A831" t="s">
        <v>131</v>
      </c>
      <c r="B831" t="s">
        <v>841</v>
      </c>
      <c r="C831">
        <v>0</v>
      </c>
      <c r="D831">
        <v>0</v>
      </c>
      <c r="E831">
        <v>0</v>
      </c>
      <c r="F831">
        <v>1</v>
      </c>
      <c r="G831">
        <v>0</v>
      </c>
      <c r="H831">
        <v>0</v>
      </c>
      <c r="I831">
        <v>0</v>
      </c>
      <c r="J831">
        <v>0</v>
      </c>
      <c r="K831">
        <v>0</v>
      </c>
      <c r="L831">
        <v>0</v>
      </c>
      <c r="M831">
        <v>1</v>
      </c>
      <c r="P831" s="4"/>
    </row>
    <row r="832" spans="1:16" x14ac:dyDescent="0.3">
      <c r="A832" t="s">
        <v>131</v>
      </c>
      <c r="B832" t="s">
        <v>842</v>
      </c>
      <c r="C832">
        <v>0</v>
      </c>
      <c r="D832">
        <v>0</v>
      </c>
      <c r="E832">
        <v>0</v>
      </c>
      <c r="F832">
        <v>0</v>
      </c>
      <c r="G832">
        <v>0</v>
      </c>
      <c r="H832">
        <v>0</v>
      </c>
      <c r="I832">
        <v>0</v>
      </c>
      <c r="J832">
        <v>8</v>
      </c>
      <c r="K832">
        <v>42</v>
      </c>
      <c r="L832">
        <v>21</v>
      </c>
      <c r="M832">
        <v>71</v>
      </c>
      <c r="P832" s="3"/>
    </row>
    <row r="833" spans="1:16" x14ac:dyDescent="0.3">
      <c r="A833" t="s">
        <v>131</v>
      </c>
      <c r="B833" t="s">
        <v>843</v>
      </c>
      <c r="C833">
        <v>0</v>
      </c>
      <c r="D833">
        <v>0</v>
      </c>
      <c r="E833">
        <v>0</v>
      </c>
      <c r="F833">
        <v>0</v>
      </c>
      <c r="G833">
        <v>0</v>
      </c>
      <c r="H833">
        <v>0</v>
      </c>
      <c r="I833">
        <v>0</v>
      </c>
      <c r="J833">
        <v>0</v>
      </c>
      <c r="K833">
        <v>45</v>
      </c>
      <c r="L833">
        <v>54</v>
      </c>
      <c r="M833">
        <v>99</v>
      </c>
      <c r="P833" s="4"/>
    </row>
    <row r="834" spans="1:16" x14ac:dyDescent="0.3">
      <c r="A834" t="s">
        <v>131</v>
      </c>
      <c r="B834" t="s">
        <v>844</v>
      </c>
      <c r="C834">
        <v>9</v>
      </c>
      <c r="D834">
        <v>125</v>
      </c>
      <c r="E834">
        <v>224</v>
      </c>
      <c r="F834">
        <v>361</v>
      </c>
      <c r="G834">
        <v>732</v>
      </c>
      <c r="H834">
        <v>316</v>
      </c>
      <c r="I834">
        <v>602</v>
      </c>
      <c r="J834">
        <v>1331</v>
      </c>
      <c r="K834">
        <v>1253</v>
      </c>
      <c r="L834">
        <v>502</v>
      </c>
      <c r="M834">
        <v>5455</v>
      </c>
      <c r="P834" s="3"/>
    </row>
    <row r="835" spans="1:16" x14ac:dyDescent="0.3">
      <c r="A835" t="s">
        <v>131</v>
      </c>
      <c r="B835" t="s">
        <v>845</v>
      </c>
      <c r="C835">
        <v>0</v>
      </c>
      <c r="D835">
        <v>0</v>
      </c>
      <c r="E835">
        <v>0</v>
      </c>
      <c r="F835">
        <v>0</v>
      </c>
      <c r="G835">
        <v>0</v>
      </c>
      <c r="H835">
        <v>0</v>
      </c>
      <c r="I835">
        <v>0</v>
      </c>
      <c r="J835">
        <v>0</v>
      </c>
      <c r="K835">
        <v>0</v>
      </c>
      <c r="L835">
        <v>67</v>
      </c>
      <c r="M835">
        <v>67</v>
      </c>
      <c r="P835" s="4"/>
    </row>
    <row r="836" spans="1:16" x14ac:dyDescent="0.3">
      <c r="A836" t="s">
        <v>131</v>
      </c>
      <c r="B836" t="s">
        <v>846</v>
      </c>
      <c r="C836">
        <v>0</v>
      </c>
      <c r="D836">
        <v>0</v>
      </c>
      <c r="E836">
        <v>8</v>
      </c>
      <c r="F836">
        <v>3</v>
      </c>
      <c r="G836">
        <v>0</v>
      </c>
      <c r="H836">
        <v>0</v>
      </c>
      <c r="I836">
        <v>0</v>
      </c>
      <c r="J836">
        <v>0</v>
      </c>
      <c r="K836">
        <v>0</v>
      </c>
      <c r="L836">
        <v>0</v>
      </c>
      <c r="M836">
        <v>11</v>
      </c>
      <c r="P836" s="3"/>
    </row>
    <row r="837" spans="1:16" x14ac:dyDescent="0.3">
      <c r="A837" t="s">
        <v>136</v>
      </c>
      <c r="B837" t="s">
        <v>847</v>
      </c>
      <c r="C837">
        <v>0</v>
      </c>
      <c r="D837">
        <v>0</v>
      </c>
      <c r="E837">
        <v>0</v>
      </c>
      <c r="F837">
        <v>1</v>
      </c>
      <c r="G837">
        <v>0</v>
      </c>
      <c r="H837">
        <v>0</v>
      </c>
      <c r="I837">
        <v>0</v>
      </c>
      <c r="J837">
        <v>0</v>
      </c>
      <c r="K837">
        <v>0</v>
      </c>
      <c r="L837">
        <v>0</v>
      </c>
      <c r="M837">
        <v>1</v>
      </c>
      <c r="P837" s="4"/>
    </row>
    <row r="838" spans="1:16" x14ac:dyDescent="0.3">
      <c r="A838" t="s">
        <v>131</v>
      </c>
      <c r="B838" t="s">
        <v>848</v>
      </c>
      <c r="C838">
        <v>0</v>
      </c>
      <c r="D838">
        <v>0</v>
      </c>
      <c r="E838">
        <v>0</v>
      </c>
      <c r="F838">
        <v>0</v>
      </c>
      <c r="G838">
        <v>0</v>
      </c>
      <c r="H838">
        <v>0</v>
      </c>
      <c r="I838">
        <v>12</v>
      </c>
      <c r="J838">
        <v>9</v>
      </c>
      <c r="K838">
        <v>5</v>
      </c>
      <c r="L838">
        <v>0</v>
      </c>
      <c r="M838">
        <v>26</v>
      </c>
      <c r="P838" s="3"/>
    </row>
    <row r="839" spans="1:16" x14ac:dyDescent="0.3">
      <c r="A839" t="s">
        <v>133</v>
      </c>
      <c r="B839" t="s">
        <v>849</v>
      </c>
      <c r="C839">
        <v>0</v>
      </c>
      <c r="D839">
        <v>0</v>
      </c>
      <c r="E839">
        <v>0</v>
      </c>
      <c r="F839">
        <v>0</v>
      </c>
      <c r="G839">
        <v>370</v>
      </c>
      <c r="H839">
        <v>96</v>
      </c>
      <c r="I839">
        <v>16</v>
      </c>
      <c r="J839">
        <v>0</v>
      </c>
      <c r="K839">
        <v>0</v>
      </c>
      <c r="L839">
        <v>0</v>
      </c>
      <c r="M839">
        <v>482</v>
      </c>
      <c r="P839" s="4"/>
    </row>
    <row r="840" spans="1:16" x14ac:dyDescent="0.3">
      <c r="A840" t="s">
        <v>131</v>
      </c>
      <c r="B840" t="s">
        <v>849</v>
      </c>
      <c r="C840">
        <v>0</v>
      </c>
      <c r="D840">
        <v>0</v>
      </c>
      <c r="E840">
        <v>0</v>
      </c>
      <c r="F840">
        <v>1</v>
      </c>
      <c r="G840">
        <v>0</v>
      </c>
      <c r="H840">
        <v>0</v>
      </c>
      <c r="I840">
        <v>0</v>
      </c>
      <c r="J840">
        <v>0</v>
      </c>
      <c r="K840">
        <v>0</v>
      </c>
      <c r="L840">
        <v>0</v>
      </c>
      <c r="M840">
        <v>1</v>
      </c>
      <c r="P840" s="3"/>
    </row>
    <row r="841" spans="1:16" x14ac:dyDescent="0.3">
      <c r="A841" t="s">
        <v>131</v>
      </c>
      <c r="B841" t="s">
        <v>850</v>
      </c>
      <c r="C841">
        <v>0</v>
      </c>
      <c r="D841">
        <v>0</v>
      </c>
      <c r="E841">
        <v>0</v>
      </c>
      <c r="F841">
        <v>0</v>
      </c>
      <c r="G841">
        <v>0</v>
      </c>
      <c r="H841">
        <v>0</v>
      </c>
      <c r="I841">
        <v>1</v>
      </c>
      <c r="J841">
        <v>0</v>
      </c>
      <c r="K841">
        <v>0</v>
      </c>
      <c r="L841">
        <v>0</v>
      </c>
      <c r="M841">
        <v>1</v>
      </c>
      <c r="P841" s="4"/>
    </row>
    <row r="842" spans="1:16" x14ac:dyDescent="0.3">
      <c r="A842" t="s">
        <v>131</v>
      </c>
      <c r="B842" t="s">
        <v>851</v>
      </c>
      <c r="C842">
        <v>0</v>
      </c>
      <c r="D842">
        <v>0</v>
      </c>
      <c r="E842">
        <v>0</v>
      </c>
      <c r="F842">
        <v>0</v>
      </c>
      <c r="G842">
        <v>38</v>
      </c>
      <c r="H842">
        <v>21</v>
      </c>
      <c r="I842">
        <v>7</v>
      </c>
      <c r="J842">
        <v>8</v>
      </c>
      <c r="K842">
        <v>40</v>
      </c>
      <c r="L842">
        <v>10</v>
      </c>
      <c r="M842">
        <v>124</v>
      </c>
      <c r="P842" s="3"/>
    </row>
    <row r="843" spans="1:16" x14ac:dyDescent="0.3">
      <c r="A843" t="s">
        <v>131</v>
      </c>
      <c r="B843" t="s">
        <v>852</v>
      </c>
      <c r="C843">
        <v>0</v>
      </c>
      <c r="D843">
        <v>0</v>
      </c>
      <c r="E843">
        <v>0</v>
      </c>
      <c r="F843">
        <v>125</v>
      </c>
      <c r="G843">
        <v>161</v>
      </c>
      <c r="H843">
        <v>179</v>
      </c>
      <c r="I843">
        <v>265</v>
      </c>
      <c r="J843">
        <v>289</v>
      </c>
      <c r="K843">
        <v>326</v>
      </c>
      <c r="L843">
        <v>202</v>
      </c>
      <c r="M843">
        <v>1547</v>
      </c>
      <c r="P843" s="4"/>
    </row>
    <row r="844" spans="1:16" x14ac:dyDescent="0.3">
      <c r="A844" t="s">
        <v>131</v>
      </c>
      <c r="B844" t="s">
        <v>853</v>
      </c>
      <c r="C844">
        <v>0</v>
      </c>
      <c r="D844">
        <v>0</v>
      </c>
      <c r="E844">
        <v>0</v>
      </c>
      <c r="F844">
        <v>0</v>
      </c>
      <c r="G844">
        <v>15</v>
      </c>
      <c r="H844">
        <v>4</v>
      </c>
      <c r="I844">
        <v>1</v>
      </c>
      <c r="J844">
        <v>19</v>
      </c>
      <c r="K844">
        <v>19</v>
      </c>
      <c r="L844">
        <v>0</v>
      </c>
      <c r="M844">
        <v>58</v>
      </c>
      <c r="P844" s="3"/>
    </row>
    <row r="845" spans="1:16" x14ac:dyDescent="0.3">
      <c r="A845" t="s">
        <v>133</v>
      </c>
      <c r="B845" t="s">
        <v>854</v>
      </c>
      <c r="C845">
        <v>0</v>
      </c>
      <c r="D845">
        <v>3</v>
      </c>
      <c r="E845">
        <v>6</v>
      </c>
      <c r="F845">
        <v>10</v>
      </c>
      <c r="G845">
        <v>0</v>
      </c>
      <c r="H845">
        <v>0</v>
      </c>
      <c r="I845">
        <v>0</v>
      </c>
      <c r="J845">
        <v>0</v>
      </c>
      <c r="K845">
        <v>0</v>
      </c>
      <c r="L845">
        <v>0</v>
      </c>
      <c r="M845">
        <v>19</v>
      </c>
      <c r="P845" s="4"/>
    </row>
    <row r="846" spans="1:16" x14ac:dyDescent="0.3">
      <c r="A846" t="s">
        <v>131</v>
      </c>
      <c r="B846" t="s">
        <v>854</v>
      </c>
      <c r="C846">
        <v>51</v>
      </c>
      <c r="D846">
        <v>891</v>
      </c>
      <c r="E846">
        <v>2889</v>
      </c>
      <c r="F846">
        <v>568</v>
      </c>
      <c r="G846">
        <v>2</v>
      </c>
      <c r="H846">
        <v>0</v>
      </c>
      <c r="I846">
        <v>0</v>
      </c>
      <c r="J846">
        <v>0</v>
      </c>
      <c r="K846">
        <v>0</v>
      </c>
      <c r="L846">
        <v>0</v>
      </c>
      <c r="M846">
        <v>4401</v>
      </c>
      <c r="P846" s="3"/>
    </row>
    <row r="847" spans="1:16" x14ac:dyDescent="0.3">
      <c r="A847" t="s">
        <v>136</v>
      </c>
      <c r="B847" t="s">
        <v>854</v>
      </c>
      <c r="C847">
        <v>0</v>
      </c>
      <c r="D847">
        <v>3</v>
      </c>
      <c r="E847">
        <v>369</v>
      </c>
      <c r="F847">
        <v>0</v>
      </c>
      <c r="G847">
        <v>0</v>
      </c>
      <c r="H847">
        <v>0</v>
      </c>
      <c r="I847">
        <v>0</v>
      </c>
      <c r="J847">
        <v>0</v>
      </c>
      <c r="K847">
        <v>0</v>
      </c>
      <c r="L847">
        <v>0</v>
      </c>
      <c r="M847">
        <v>372</v>
      </c>
      <c r="P847" s="4"/>
    </row>
    <row r="848" spans="1:16" x14ac:dyDescent="0.3">
      <c r="A848" t="s">
        <v>131</v>
      </c>
      <c r="B848" t="s">
        <v>855</v>
      </c>
      <c r="C848">
        <v>0</v>
      </c>
      <c r="D848">
        <v>0</v>
      </c>
      <c r="E848">
        <v>1</v>
      </c>
      <c r="F848">
        <v>0</v>
      </c>
      <c r="G848">
        <v>0</v>
      </c>
      <c r="H848">
        <v>0</v>
      </c>
      <c r="I848">
        <v>0</v>
      </c>
      <c r="J848">
        <v>0</v>
      </c>
      <c r="K848">
        <v>0</v>
      </c>
      <c r="L848">
        <v>0</v>
      </c>
      <c r="M848">
        <v>1</v>
      </c>
      <c r="P848" s="3"/>
    </row>
    <row r="849" spans="1:16" x14ac:dyDescent="0.3">
      <c r="A849" t="s">
        <v>131</v>
      </c>
      <c r="B849" t="s">
        <v>856</v>
      </c>
      <c r="C849">
        <v>0</v>
      </c>
      <c r="D849">
        <v>1</v>
      </c>
      <c r="E849">
        <v>76</v>
      </c>
      <c r="F849">
        <v>205</v>
      </c>
      <c r="G849">
        <v>31</v>
      </c>
      <c r="H849">
        <v>7</v>
      </c>
      <c r="I849">
        <v>0</v>
      </c>
      <c r="J849">
        <v>0</v>
      </c>
      <c r="K849">
        <v>0</v>
      </c>
      <c r="L849">
        <v>0</v>
      </c>
      <c r="M849">
        <v>320</v>
      </c>
      <c r="P849" s="4"/>
    </row>
    <row r="850" spans="1:16" x14ac:dyDescent="0.3">
      <c r="A850" t="s">
        <v>133</v>
      </c>
      <c r="B850" t="s">
        <v>857</v>
      </c>
      <c r="C850">
        <v>0</v>
      </c>
      <c r="D850">
        <v>0</v>
      </c>
      <c r="E850">
        <v>0</v>
      </c>
      <c r="F850">
        <v>0</v>
      </c>
      <c r="G850">
        <v>0</v>
      </c>
      <c r="H850">
        <v>0</v>
      </c>
      <c r="I850">
        <v>0</v>
      </c>
      <c r="J850">
        <v>0</v>
      </c>
      <c r="K850">
        <v>0</v>
      </c>
      <c r="L850">
        <v>28</v>
      </c>
      <c r="M850">
        <v>28</v>
      </c>
      <c r="P850" s="3"/>
    </row>
    <row r="851" spans="1:16" x14ac:dyDescent="0.3">
      <c r="A851" t="s">
        <v>131</v>
      </c>
      <c r="B851" t="s">
        <v>858</v>
      </c>
      <c r="C851">
        <v>0</v>
      </c>
      <c r="D851">
        <v>0</v>
      </c>
      <c r="E851">
        <v>0</v>
      </c>
      <c r="F851">
        <v>1</v>
      </c>
      <c r="G851">
        <v>17</v>
      </c>
      <c r="H851">
        <v>11</v>
      </c>
      <c r="I851">
        <v>290</v>
      </c>
      <c r="J851">
        <v>569</v>
      </c>
      <c r="K851">
        <v>439</v>
      </c>
      <c r="L851">
        <v>138</v>
      </c>
      <c r="M851">
        <v>1465</v>
      </c>
      <c r="P851" s="4"/>
    </row>
    <row r="852" spans="1:16" x14ac:dyDescent="0.3">
      <c r="A852" t="s">
        <v>131</v>
      </c>
      <c r="B852" t="s">
        <v>859</v>
      </c>
      <c r="C852">
        <v>0</v>
      </c>
      <c r="D852">
        <v>0</v>
      </c>
      <c r="E852">
        <v>2</v>
      </c>
      <c r="F852">
        <v>128</v>
      </c>
      <c r="G852">
        <v>158</v>
      </c>
      <c r="H852">
        <v>48</v>
      </c>
      <c r="I852">
        <v>43</v>
      </c>
      <c r="J852">
        <v>77</v>
      </c>
      <c r="K852">
        <v>22</v>
      </c>
      <c r="L852">
        <v>7</v>
      </c>
      <c r="M852">
        <v>485</v>
      </c>
      <c r="P852" s="3"/>
    </row>
    <row r="853" spans="1:16" x14ac:dyDescent="0.3">
      <c r="A853" t="s">
        <v>133</v>
      </c>
      <c r="B853" t="s">
        <v>860</v>
      </c>
      <c r="C853">
        <v>0</v>
      </c>
      <c r="D853">
        <v>0</v>
      </c>
      <c r="E853">
        <v>0</v>
      </c>
      <c r="F853">
        <v>0</v>
      </c>
      <c r="G853">
        <v>0</v>
      </c>
      <c r="H853">
        <v>0</v>
      </c>
      <c r="I853">
        <v>12</v>
      </c>
      <c r="J853">
        <v>167</v>
      </c>
      <c r="K853">
        <v>164</v>
      </c>
      <c r="L853">
        <v>23</v>
      </c>
      <c r="M853">
        <v>366</v>
      </c>
      <c r="P853" s="4"/>
    </row>
    <row r="854" spans="1:16" x14ac:dyDescent="0.3">
      <c r="A854" t="s">
        <v>131</v>
      </c>
      <c r="B854" t="s">
        <v>861</v>
      </c>
      <c r="C854">
        <v>0</v>
      </c>
      <c r="D854">
        <v>408</v>
      </c>
      <c r="E854">
        <v>2</v>
      </c>
      <c r="F854">
        <v>0</v>
      </c>
      <c r="G854">
        <v>0</v>
      </c>
      <c r="H854">
        <v>0</v>
      </c>
      <c r="I854">
        <v>0</v>
      </c>
      <c r="J854">
        <v>0</v>
      </c>
      <c r="K854">
        <v>0</v>
      </c>
      <c r="L854">
        <v>0</v>
      </c>
      <c r="M854">
        <v>410</v>
      </c>
      <c r="P854" s="3"/>
    </row>
    <row r="855" spans="1:16" x14ac:dyDescent="0.3">
      <c r="A855" t="s">
        <v>136</v>
      </c>
      <c r="B855" t="s">
        <v>861</v>
      </c>
      <c r="C855">
        <v>0</v>
      </c>
      <c r="D855">
        <v>2</v>
      </c>
      <c r="E855">
        <v>4</v>
      </c>
      <c r="F855">
        <v>0</v>
      </c>
      <c r="G855">
        <v>1</v>
      </c>
      <c r="H855">
        <v>0</v>
      </c>
      <c r="I855">
        <v>0</v>
      </c>
      <c r="J855">
        <v>3</v>
      </c>
      <c r="K855">
        <v>0</v>
      </c>
      <c r="L855">
        <v>0</v>
      </c>
      <c r="M855">
        <v>10</v>
      </c>
      <c r="P855" s="4"/>
    </row>
    <row r="856" spans="1:16" x14ac:dyDescent="0.3">
      <c r="A856" t="s">
        <v>131</v>
      </c>
      <c r="B856" t="s">
        <v>862</v>
      </c>
      <c r="C856">
        <v>0</v>
      </c>
      <c r="D856">
        <v>0</v>
      </c>
      <c r="E856">
        <v>0</v>
      </c>
      <c r="F856">
        <v>102</v>
      </c>
      <c r="G856">
        <v>468</v>
      </c>
      <c r="H856">
        <v>295</v>
      </c>
      <c r="I856">
        <v>760</v>
      </c>
      <c r="J856">
        <v>1563</v>
      </c>
      <c r="K856">
        <v>2650</v>
      </c>
      <c r="L856">
        <v>2110</v>
      </c>
      <c r="M856">
        <v>7948</v>
      </c>
      <c r="P856" s="3"/>
    </row>
    <row r="857" spans="1:16" x14ac:dyDescent="0.3">
      <c r="A857" t="s">
        <v>133</v>
      </c>
      <c r="B857" t="s">
        <v>863</v>
      </c>
      <c r="C857">
        <v>0</v>
      </c>
      <c r="D857">
        <v>0</v>
      </c>
      <c r="E857">
        <v>0</v>
      </c>
      <c r="F857">
        <v>0</v>
      </c>
      <c r="G857">
        <v>0</v>
      </c>
      <c r="H857">
        <v>0</v>
      </c>
      <c r="I857">
        <v>0</v>
      </c>
      <c r="J857">
        <v>335</v>
      </c>
      <c r="K857">
        <v>473</v>
      </c>
      <c r="L857">
        <v>150</v>
      </c>
      <c r="M857">
        <v>958</v>
      </c>
      <c r="P857" s="4"/>
    </row>
    <row r="858" spans="1:16" x14ac:dyDescent="0.3">
      <c r="A858" t="s">
        <v>133</v>
      </c>
      <c r="B858" t="s">
        <v>864</v>
      </c>
      <c r="C858">
        <v>0</v>
      </c>
      <c r="D858">
        <v>0</v>
      </c>
      <c r="E858">
        <v>0</v>
      </c>
      <c r="F858">
        <v>0</v>
      </c>
      <c r="G858">
        <v>0</v>
      </c>
      <c r="H858">
        <v>0</v>
      </c>
      <c r="I858">
        <v>0</v>
      </c>
      <c r="J858">
        <v>0</v>
      </c>
      <c r="K858">
        <v>50</v>
      </c>
      <c r="L858">
        <v>217</v>
      </c>
      <c r="M858">
        <v>267</v>
      </c>
      <c r="P858" s="3"/>
    </row>
    <row r="859" spans="1:16" x14ac:dyDescent="0.3">
      <c r="A859" t="s">
        <v>131</v>
      </c>
      <c r="B859" t="s">
        <v>865</v>
      </c>
      <c r="C859">
        <v>0</v>
      </c>
      <c r="D859">
        <v>0</v>
      </c>
      <c r="E859">
        <v>0</v>
      </c>
      <c r="F859">
        <v>0</v>
      </c>
      <c r="G859">
        <v>0</v>
      </c>
      <c r="H859">
        <v>0</v>
      </c>
      <c r="I859">
        <v>0</v>
      </c>
      <c r="J859">
        <v>0</v>
      </c>
      <c r="K859">
        <v>2</v>
      </c>
      <c r="L859">
        <v>3</v>
      </c>
      <c r="M859">
        <v>5</v>
      </c>
      <c r="P859" s="4"/>
    </row>
    <row r="860" spans="1:16" x14ac:dyDescent="0.3">
      <c r="A860" t="s">
        <v>133</v>
      </c>
      <c r="B860" t="s">
        <v>866</v>
      </c>
      <c r="C860">
        <v>0</v>
      </c>
      <c r="D860">
        <v>0</v>
      </c>
      <c r="E860">
        <v>0</v>
      </c>
      <c r="F860">
        <v>0</v>
      </c>
      <c r="G860">
        <v>0</v>
      </c>
      <c r="H860">
        <v>4</v>
      </c>
      <c r="I860">
        <v>81</v>
      </c>
      <c r="J860">
        <v>313</v>
      </c>
      <c r="K860">
        <v>210</v>
      </c>
      <c r="L860">
        <v>39</v>
      </c>
      <c r="M860">
        <v>647</v>
      </c>
      <c r="P860" s="3"/>
    </row>
    <row r="861" spans="1:16" x14ac:dyDescent="0.3">
      <c r="A861" t="s">
        <v>131</v>
      </c>
      <c r="B861" t="s">
        <v>867</v>
      </c>
      <c r="C861">
        <v>0</v>
      </c>
      <c r="D861">
        <v>0</v>
      </c>
      <c r="E861">
        <v>0</v>
      </c>
      <c r="F861">
        <v>0</v>
      </c>
      <c r="G861">
        <v>87</v>
      </c>
      <c r="H861">
        <v>207</v>
      </c>
      <c r="I861">
        <v>168</v>
      </c>
      <c r="J861">
        <v>160</v>
      </c>
      <c r="K861">
        <v>157</v>
      </c>
      <c r="L861">
        <v>47</v>
      </c>
      <c r="M861">
        <v>826</v>
      </c>
      <c r="P861" s="4"/>
    </row>
    <row r="862" spans="1:16" x14ac:dyDescent="0.3">
      <c r="A862" t="s">
        <v>131</v>
      </c>
      <c r="B862" t="s">
        <v>868</v>
      </c>
      <c r="C862">
        <v>0</v>
      </c>
      <c r="D862">
        <v>9</v>
      </c>
      <c r="E862">
        <v>336</v>
      </c>
      <c r="F862">
        <v>468</v>
      </c>
      <c r="G862">
        <v>130</v>
      </c>
      <c r="H862">
        <v>64</v>
      </c>
      <c r="I862">
        <v>6</v>
      </c>
      <c r="J862">
        <v>63</v>
      </c>
      <c r="K862">
        <v>125</v>
      </c>
      <c r="L862">
        <v>81</v>
      </c>
      <c r="M862">
        <v>1282</v>
      </c>
      <c r="P862" s="3"/>
    </row>
    <row r="863" spans="1:16" x14ac:dyDescent="0.3">
      <c r="A863" t="s">
        <v>136</v>
      </c>
      <c r="B863" t="s">
        <v>868</v>
      </c>
      <c r="C863">
        <v>0</v>
      </c>
      <c r="D863">
        <v>0</v>
      </c>
      <c r="E863">
        <v>0</v>
      </c>
      <c r="F863">
        <v>0</v>
      </c>
      <c r="G863">
        <v>7</v>
      </c>
      <c r="H863">
        <v>0</v>
      </c>
      <c r="I863">
        <v>0</v>
      </c>
      <c r="J863">
        <v>0</v>
      </c>
      <c r="K863">
        <v>0</v>
      </c>
      <c r="L863">
        <v>0</v>
      </c>
      <c r="M863">
        <v>7</v>
      </c>
      <c r="P863" s="4"/>
    </row>
    <row r="864" spans="1:16" x14ac:dyDescent="0.3">
      <c r="A864" t="s">
        <v>133</v>
      </c>
      <c r="B864" t="s">
        <v>869</v>
      </c>
      <c r="C864">
        <v>0</v>
      </c>
      <c r="D864">
        <v>0</v>
      </c>
      <c r="E864">
        <v>0</v>
      </c>
      <c r="F864">
        <v>2</v>
      </c>
      <c r="G864">
        <v>0</v>
      </c>
      <c r="H864">
        <v>0</v>
      </c>
      <c r="I864">
        <v>0</v>
      </c>
      <c r="J864">
        <v>0</v>
      </c>
      <c r="K864">
        <v>0</v>
      </c>
      <c r="L864">
        <v>0</v>
      </c>
      <c r="M864">
        <v>2</v>
      </c>
      <c r="P864" s="3"/>
    </row>
    <row r="865" spans="1:16" x14ac:dyDescent="0.3">
      <c r="A865" t="s">
        <v>133</v>
      </c>
      <c r="B865" t="s">
        <v>870</v>
      </c>
      <c r="C865">
        <v>0</v>
      </c>
      <c r="D865">
        <v>0</v>
      </c>
      <c r="E865">
        <v>0</v>
      </c>
      <c r="F865">
        <v>0</v>
      </c>
      <c r="G865">
        <v>0</v>
      </c>
      <c r="H865">
        <v>0</v>
      </c>
      <c r="I865">
        <v>0</v>
      </c>
      <c r="J865">
        <v>8913</v>
      </c>
      <c r="K865">
        <v>15816</v>
      </c>
      <c r="L865">
        <v>4387</v>
      </c>
      <c r="M865">
        <v>29116</v>
      </c>
      <c r="P865" s="4"/>
    </row>
    <row r="866" spans="1:16" x14ac:dyDescent="0.3">
      <c r="A866" t="s">
        <v>133</v>
      </c>
      <c r="B866" t="s">
        <v>871</v>
      </c>
      <c r="C866">
        <v>0</v>
      </c>
      <c r="D866">
        <v>1</v>
      </c>
      <c r="E866">
        <v>331</v>
      </c>
      <c r="F866">
        <v>8452</v>
      </c>
      <c r="G866">
        <v>11850</v>
      </c>
      <c r="H866">
        <v>5754</v>
      </c>
      <c r="I866">
        <v>30659</v>
      </c>
      <c r="J866">
        <v>103620</v>
      </c>
      <c r="K866">
        <v>31616</v>
      </c>
      <c r="L866">
        <v>3893</v>
      </c>
      <c r="M866">
        <v>196176</v>
      </c>
      <c r="P866" s="3"/>
    </row>
    <row r="867" spans="1:16" x14ac:dyDescent="0.3">
      <c r="A867" t="s">
        <v>131</v>
      </c>
      <c r="B867" t="s">
        <v>871</v>
      </c>
      <c r="C867">
        <v>0</v>
      </c>
      <c r="D867">
        <v>0</v>
      </c>
      <c r="E867">
        <v>0</v>
      </c>
      <c r="F867">
        <v>0</v>
      </c>
      <c r="G867">
        <v>0</v>
      </c>
      <c r="H867">
        <v>3</v>
      </c>
      <c r="I867">
        <v>0</v>
      </c>
      <c r="J867">
        <v>0</v>
      </c>
      <c r="K867">
        <v>1</v>
      </c>
      <c r="L867">
        <v>0</v>
      </c>
      <c r="M867">
        <v>4</v>
      </c>
      <c r="P867" s="4"/>
    </row>
    <row r="868" spans="1:16" x14ac:dyDescent="0.3">
      <c r="A868" t="s">
        <v>136</v>
      </c>
      <c r="B868" t="s">
        <v>871</v>
      </c>
      <c r="C868">
        <v>0</v>
      </c>
      <c r="D868">
        <v>0</v>
      </c>
      <c r="E868">
        <v>0</v>
      </c>
      <c r="F868">
        <v>1</v>
      </c>
      <c r="G868">
        <v>1</v>
      </c>
      <c r="H868">
        <v>0</v>
      </c>
      <c r="I868">
        <v>0</v>
      </c>
      <c r="J868">
        <v>0</v>
      </c>
      <c r="K868">
        <v>0</v>
      </c>
      <c r="L868">
        <v>0</v>
      </c>
      <c r="M868">
        <v>2</v>
      </c>
      <c r="P868" s="3"/>
    </row>
    <row r="869" spans="1:16" x14ac:dyDescent="0.3">
      <c r="A869" t="s">
        <v>133</v>
      </c>
      <c r="B869" t="s">
        <v>872</v>
      </c>
      <c r="C869">
        <v>0</v>
      </c>
      <c r="D869">
        <v>0</v>
      </c>
      <c r="E869">
        <v>0</v>
      </c>
      <c r="F869">
        <v>0</v>
      </c>
      <c r="G869">
        <v>0</v>
      </c>
      <c r="H869">
        <v>0</v>
      </c>
      <c r="I869">
        <v>240</v>
      </c>
      <c r="J869">
        <v>109398</v>
      </c>
      <c r="K869">
        <v>267355</v>
      </c>
      <c r="L869">
        <v>211273</v>
      </c>
      <c r="M869">
        <v>588266</v>
      </c>
      <c r="P869" s="4"/>
    </row>
    <row r="870" spans="1:16" x14ac:dyDescent="0.3">
      <c r="A870" t="s">
        <v>136</v>
      </c>
      <c r="B870" t="s">
        <v>873</v>
      </c>
      <c r="C870">
        <v>0</v>
      </c>
      <c r="D870">
        <v>0</v>
      </c>
      <c r="E870">
        <v>0</v>
      </c>
      <c r="F870">
        <v>0</v>
      </c>
      <c r="G870">
        <v>0</v>
      </c>
      <c r="H870">
        <v>0</v>
      </c>
      <c r="I870">
        <v>1</v>
      </c>
      <c r="J870">
        <v>0</v>
      </c>
      <c r="K870">
        <v>0</v>
      </c>
      <c r="L870">
        <v>0</v>
      </c>
      <c r="M870">
        <v>1</v>
      </c>
      <c r="P870" s="3"/>
    </row>
    <row r="871" spans="1:16" x14ac:dyDescent="0.3">
      <c r="A871" t="s">
        <v>181</v>
      </c>
      <c r="B871" t="s">
        <v>873</v>
      </c>
      <c r="C871">
        <v>0</v>
      </c>
      <c r="D871">
        <v>0</v>
      </c>
      <c r="E871">
        <v>0</v>
      </c>
      <c r="F871">
        <v>1</v>
      </c>
      <c r="G871">
        <v>11</v>
      </c>
      <c r="H871">
        <v>7</v>
      </c>
      <c r="I871">
        <v>0</v>
      </c>
      <c r="J871">
        <v>3</v>
      </c>
      <c r="K871">
        <v>12</v>
      </c>
      <c r="L871">
        <v>0</v>
      </c>
      <c r="M871">
        <v>34</v>
      </c>
      <c r="P871" s="4"/>
    </row>
    <row r="872" spans="1:16" x14ac:dyDescent="0.3">
      <c r="A872" t="s">
        <v>131</v>
      </c>
      <c r="B872" t="s">
        <v>874</v>
      </c>
      <c r="C872">
        <v>0</v>
      </c>
      <c r="D872">
        <v>0</v>
      </c>
      <c r="E872">
        <v>0</v>
      </c>
      <c r="F872">
        <v>3</v>
      </c>
      <c r="G872">
        <v>51</v>
      </c>
      <c r="H872">
        <v>5</v>
      </c>
      <c r="I872">
        <v>10</v>
      </c>
      <c r="J872">
        <v>0</v>
      </c>
      <c r="K872">
        <v>0</v>
      </c>
      <c r="L872">
        <v>0</v>
      </c>
      <c r="M872">
        <v>69</v>
      </c>
      <c r="P872" s="3"/>
    </row>
    <row r="873" spans="1:16" x14ac:dyDescent="0.3">
      <c r="A873" t="s">
        <v>181</v>
      </c>
      <c r="B873" t="s">
        <v>874</v>
      </c>
      <c r="C873">
        <v>0</v>
      </c>
      <c r="D873">
        <v>0</v>
      </c>
      <c r="E873">
        <v>0</v>
      </c>
      <c r="F873">
        <v>1</v>
      </c>
      <c r="G873">
        <v>0</v>
      </c>
      <c r="H873">
        <v>0</v>
      </c>
      <c r="I873">
        <v>0</v>
      </c>
      <c r="J873">
        <v>0</v>
      </c>
      <c r="K873">
        <v>0</v>
      </c>
      <c r="L873">
        <v>0</v>
      </c>
      <c r="M873">
        <v>1</v>
      </c>
      <c r="P873" s="4"/>
    </row>
    <row r="874" spans="1:16" x14ac:dyDescent="0.3">
      <c r="A874" t="s">
        <v>133</v>
      </c>
      <c r="B874" t="s">
        <v>875</v>
      </c>
      <c r="C874">
        <v>0</v>
      </c>
      <c r="D874">
        <v>0</v>
      </c>
      <c r="E874">
        <v>0</v>
      </c>
      <c r="F874">
        <v>0</v>
      </c>
      <c r="G874">
        <v>0</v>
      </c>
      <c r="H874">
        <v>0</v>
      </c>
      <c r="I874">
        <v>1</v>
      </c>
      <c r="J874">
        <v>0</v>
      </c>
      <c r="K874">
        <v>0</v>
      </c>
      <c r="L874">
        <v>0</v>
      </c>
      <c r="M874">
        <v>1</v>
      </c>
      <c r="P874" s="3"/>
    </row>
    <row r="875" spans="1:16" x14ac:dyDescent="0.3">
      <c r="A875" t="s">
        <v>131</v>
      </c>
      <c r="B875" t="s">
        <v>875</v>
      </c>
      <c r="C875">
        <v>0</v>
      </c>
      <c r="D875">
        <v>389</v>
      </c>
      <c r="E875">
        <v>1079</v>
      </c>
      <c r="F875">
        <v>1701</v>
      </c>
      <c r="G875">
        <v>1610</v>
      </c>
      <c r="H875">
        <v>672</v>
      </c>
      <c r="I875">
        <v>1448</v>
      </c>
      <c r="J875">
        <v>2930</v>
      </c>
      <c r="K875">
        <v>3304</v>
      </c>
      <c r="L875">
        <v>1461</v>
      </c>
      <c r="M875">
        <v>14594</v>
      </c>
      <c r="P875" s="4"/>
    </row>
    <row r="876" spans="1:16" x14ac:dyDescent="0.3">
      <c r="A876" t="s">
        <v>131</v>
      </c>
      <c r="B876" t="s">
        <v>876</v>
      </c>
      <c r="C876">
        <v>0</v>
      </c>
      <c r="D876">
        <v>340</v>
      </c>
      <c r="E876">
        <v>241</v>
      </c>
      <c r="F876">
        <v>145</v>
      </c>
      <c r="G876">
        <v>83</v>
      </c>
      <c r="H876">
        <v>54</v>
      </c>
      <c r="I876">
        <v>24</v>
      </c>
      <c r="J876">
        <v>16</v>
      </c>
      <c r="K876">
        <v>9</v>
      </c>
      <c r="L876">
        <v>0</v>
      </c>
      <c r="M876">
        <v>912</v>
      </c>
      <c r="P876" s="3"/>
    </row>
    <row r="877" spans="1:16" x14ac:dyDescent="0.3">
      <c r="A877" t="s">
        <v>131</v>
      </c>
      <c r="B877" t="s">
        <v>877</v>
      </c>
      <c r="C877">
        <v>0</v>
      </c>
      <c r="D877">
        <v>0</v>
      </c>
      <c r="E877">
        <v>0</v>
      </c>
      <c r="F877">
        <v>35</v>
      </c>
      <c r="G877">
        <v>12</v>
      </c>
      <c r="H877">
        <v>1</v>
      </c>
      <c r="I877">
        <v>0</v>
      </c>
      <c r="J877">
        <v>0</v>
      </c>
      <c r="K877">
        <v>44</v>
      </c>
      <c r="L877">
        <v>768</v>
      </c>
      <c r="M877">
        <v>860</v>
      </c>
      <c r="P877" s="4"/>
    </row>
    <row r="878" spans="1:16" x14ac:dyDescent="0.3">
      <c r="A878" t="s">
        <v>131</v>
      </c>
      <c r="B878" t="s">
        <v>878</v>
      </c>
      <c r="C878">
        <v>0</v>
      </c>
      <c r="D878">
        <v>0</v>
      </c>
      <c r="E878">
        <v>0</v>
      </c>
      <c r="F878">
        <v>4</v>
      </c>
      <c r="G878">
        <v>29</v>
      </c>
      <c r="H878">
        <v>13</v>
      </c>
      <c r="I878">
        <v>6</v>
      </c>
      <c r="J878">
        <v>15</v>
      </c>
      <c r="K878">
        <v>0</v>
      </c>
      <c r="L878">
        <v>0</v>
      </c>
      <c r="M878">
        <v>67</v>
      </c>
      <c r="P878" s="3"/>
    </row>
    <row r="879" spans="1:16" x14ac:dyDescent="0.3">
      <c r="A879" t="s">
        <v>131</v>
      </c>
      <c r="B879" t="s">
        <v>879</v>
      </c>
      <c r="C879">
        <v>0</v>
      </c>
      <c r="D879">
        <v>0</v>
      </c>
      <c r="E879">
        <v>0</v>
      </c>
      <c r="F879">
        <v>27</v>
      </c>
      <c r="G879">
        <v>388</v>
      </c>
      <c r="H879">
        <v>345</v>
      </c>
      <c r="I879">
        <v>795</v>
      </c>
      <c r="J879">
        <v>1167</v>
      </c>
      <c r="K879">
        <v>1203</v>
      </c>
      <c r="L879">
        <v>550</v>
      </c>
      <c r="M879">
        <v>4475</v>
      </c>
      <c r="P879" s="4"/>
    </row>
    <row r="880" spans="1:16" x14ac:dyDescent="0.3">
      <c r="A880" t="s">
        <v>131</v>
      </c>
      <c r="B880" t="s">
        <v>880</v>
      </c>
      <c r="C880">
        <v>0</v>
      </c>
      <c r="D880">
        <v>0</v>
      </c>
      <c r="E880">
        <v>0</v>
      </c>
      <c r="F880">
        <v>0</v>
      </c>
      <c r="G880">
        <v>5</v>
      </c>
      <c r="H880">
        <v>3</v>
      </c>
      <c r="I880">
        <v>4</v>
      </c>
      <c r="J880">
        <v>1</v>
      </c>
      <c r="K880">
        <v>0</v>
      </c>
      <c r="L880">
        <v>0</v>
      </c>
      <c r="M880">
        <v>13</v>
      </c>
      <c r="P880" s="3"/>
    </row>
    <row r="881" spans="1:16" x14ac:dyDescent="0.3">
      <c r="A881" t="s">
        <v>131</v>
      </c>
      <c r="B881" t="s">
        <v>881</v>
      </c>
      <c r="C881">
        <v>0</v>
      </c>
      <c r="D881">
        <v>0</v>
      </c>
      <c r="E881">
        <v>0</v>
      </c>
      <c r="F881">
        <v>0</v>
      </c>
      <c r="G881">
        <v>0</v>
      </c>
      <c r="H881">
        <v>3</v>
      </c>
      <c r="I881">
        <v>12</v>
      </c>
      <c r="J881">
        <v>102</v>
      </c>
      <c r="K881">
        <v>283</v>
      </c>
      <c r="L881">
        <v>188</v>
      </c>
      <c r="M881">
        <v>588</v>
      </c>
      <c r="P881" s="4"/>
    </row>
    <row r="882" spans="1:16" x14ac:dyDescent="0.3">
      <c r="A882" t="s">
        <v>131</v>
      </c>
      <c r="B882" t="s">
        <v>882</v>
      </c>
      <c r="C882">
        <v>0</v>
      </c>
      <c r="D882">
        <v>0</v>
      </c>
      <c r="E882">
        <v>0</v>
      </c>
      <c r="F882">
        <v>0</v>
      </c>
      <c r="G882">
        <v>0</v>
      </c>
      <c r="H882">
        <v>0</v>
      </c>
      <c r="I882">
        <v>317</v>
      </c>
      <c r="J882">
        <v>2785</v>
      </c>
      <c r="K882">
        <v>3579</v>
      </c>
      <c r="L882">
        <v>4592</v>
      </c>
      <c r="M882">
        <v>11273</v>
      </c>
      <c r="P882" s="3"/>
    </row>
    <row r="883" spans="1:16" x14ac:dyDescent="0.3">
      <c r="A883" t="s">
        <v>136</v>
      </c>
      <c r="B883" t="s">
        <v>882</v>
      </c>
      <c r="C883">
        <v>0</v>
      </c>
      <c r="D883">
        <v>0</v>
      </c>
      <c r="E883">
        <v>0</v>
      </c>
      <c r="F883">
        <v>0</v>
      </c>
      <c r="G883">
        <v>0</v>
      </c>
      <c r="H883">
        <v>0</v>
      </c>
      <c r="I883">
        <v>32</v>
      </c>
      <c r="J883">
        <v>146</v>
      </c>
      <c r="K883">
        <v>102</v>
      </c>
      <c r="L883">
        <v>61</v>
      </c>
      <c r="M883">
        <v>341</v>
      </c>
      <c r="P883" s="4"/>
    </row>
    <row r="884" spans="1:16" x14ac:dyDescent="0.3">
      <c r="A884" t="s">
        <v>133</v>
      </c>
      <c r="B884" t="s">
        <v>883</v>
      </c>
      <c r="C884">
        <v>0</v>
      </c>
      <c r="D884">
        <v>0</v>
      </c>
      <c r="E884">
        <v>0</v>
      </c>
      <c r="F884">
        <v>0</v>
      </c>
      <c r="G884">
        <v>0</v>
      </c>
      <c r="H884">
        <v>0</v>
      </c>
      <c r="I884">
        <v>0</v>
      </c>
      <c r="J884">
        <v>172</v>
      </c>
      <c r="K884">
        <v>67</v>
      </c>
      <c r="L884">
        <v>13</v>
      </c>
      <c r="M884">
        <v>252</v>
      </c>
      <c r="P884" s="3"/>
    </row>
    <row r="885" spans="1:16" x14ac:dyDescent="0.3">
      <c r="A885" t="s">
        <v>133</v>
      </c>
      <c r="B885" t="s">
        <v>884</v>
      </c>
      <c r="C885">
        <v>0</v>
      </c>
      <c r="D885">
        <v>0</v>
      </c>
      <c r="E885">
        <v>0</v>
      </c>
      <c r="F885">
        <v>1</v>
      </c>
      <c r="G885">
        <v>0</v>
      </c>
      <c r="H885">
        <v>0</v>
      </c>
      <c r="I885">
        <v>0</v>
      </c>
      <c r="J885">
        <v>0</v>
      </c>
      <c r="K885">
        <v>0</v>
      </c>
      <c r="L885">
        <v>0</v>
      </c>
      <c r="M885">
        <v>1</v>
      </c>
      <c r="P885" s="4"/>
    </row>
    <row r="886" spans="1:16" x14ac:dyDescent="0.3">
      <c r="A886" t="s">
        <v>131</v>
      </c>
      <c r="B886" t="s">
        <v>884</v>
      </c>
      <c r="C886">
        <v>0</v>
      </c>
      <c r="D886">
        <v>0</v>
      </c>
      <c r="E886">
        <v>15</v>
      </c>
      <c r="F886">
        <v>22</v>
      </c>
      <c r="G886">
        <v>0</v>
      </c>
      <c r="H886">
        <v>0</v>
      </c>
      <c r="I886">
        <v>0</v>
      </c>
      <c r="J886">
        <v>0</v>
      </c>
      <c r="K886">
        <v>0</v>
      </c>
      <c r="L886">
        <v>0</v>
      </c>
      <c r="M886">
        <v>37</v>
      </c>
      <c r="P886" s="3"/>
    </row>
    <row r="887" spans="1:16" x14ac:dyDescent="0.3">
      <c r="A887" t="s">
        <v>133</v>
      </c>
      <c r="B887" t="s">
        <v>885</v>
      </c>
      <c r="C887">
        <v>110</v>
      </c>
      <c r="D887">
        <v>136</v>
      </c>
      <c r="E887">
        <v>382</v>
      </c>
      <c r="F887">
        <v>1929</v>
      </c>
      <c r="G887">
        <v>1576</v>
      </c>
      <c r="H887">
        <v>933</v>
      </c>
      <c r="I887">
        <v>8541</v>
      </c>
      <c r="J887">
        <v>15099</v>
      </c>
      <c r="K887">
        <v>195</v>
      </c>
      <c r="L887">
        <v>4</v>
      </c>
      <c r="M887">
        <v>28905</v>
      </c>
      <c r="P887" s="4"/>
    </row>
    <row r="888" spans="1:16" x14ac:dyDescent="0.3">
      <c r="A888" t="s">
        <v>131</v>
      </c>
      <c r="B888" t="s">
        <v>885</v>
      </c>
      <c r="C888">
        <v>1708</v>
      </c>
      <c r="D888">
        <v>13401</v>
      </c>
      <c r="E888">
        <v>15094</v>
      </c>
      <c r="F888">
        <v>1687</v>
      </c>
      <c r="G888">
        <v>312</v>
      </c>
      <c r="H888">
        <v>199</v>
      </c>
      <c r="I888">
        <v>777</v>
      </c>
      <c r="J888">
        <v>2165</v>
      </c>
      <c r="K888">
        <v>1435</v>
      </c>
      <c r="L888">
        <v>174</v>
      </c>
      <c r="M888">
        <v>36952</v>
      </c>
      <c r="P888" s="3"/>
    </row>
    <row r="889" spans="1:16" x14ac:dyDescent="0.3">
      <c r="A889" t="s">
        <v>136</v>
      </c>
      <c r="B889" t="s">
        <v>885</v>
      </c>
      <c r="C889">
        <v>40</v>
      </c>
      <c r="D889">
        <v>66</v>
      </c>
      <c r="E889">
        <v>581</v>
      </c>
      <c r="F889">
        <v>560</v>
      </c>
      <c r="G889">
        <v>269</v>
      </c>
      <c r="H889">
        <v>13</v>
      </c>
      <c r="I889">
        <v>162</v>
      </c>
      <c r="J889">
        <v>431</v>
      </c>
      <c r="K889">
        <v>40</v>
      </c>
      <c r="L889">
        <v>84</v>
      </c>
      <c r="M889">
        <v>2246</v>
      </c>
      <c r="P889" s="4"/>
    </row>
    <row r="890" spans="1:16" x14ac:dyDescent="0.3">
      <c r="A890" t="s">
        <v>181</v>
      </c>
      <c r="B890" t="s">
        <v>885</v>
      </c>
      <c r="C890">
        <v>0</v>
      </c>
      <c r="D890">
        <v>1</v>
      </c>
      <c r="E890">
        <v>0</v>
      </c>
      <c r="F890">
        <v>2</v>
      </c>
      <c r="G890">
        <v>0</v>
      </c>
      <c r="H890">
        <v>0</v>
      </c>
      <c r="I890">
        <v>0</v>
      </c>
      <c r="J890">
        <v>0</v>
      </c>
      <c r="K890">
        <v>1</v>
      </c>
      <c r="L890">
        <v>1</v>
      </c>
      <c r="M890">
        <v>5</v>
      </c>
      <c r="P890" s="3"/>
    </row>
    <row r="891" spans="1:16" x14ac:dyDescent="0.3">
      <c r="A891" t="s">
        <v>133</v>
      </c>
      <c r="B891" t="s">
        <v>886</v>
      </c>
      <c r="C891">
        <v>0</v>
      </c>
      <c r="D891">
        <v>0</v>
      </c>
      <c r="E891">
        <v>0</v>
      </c>
      <c r="F891">
        <v>0</v>
      </c>
      <c r="G891">
        <v>0</v>
      </c>
      <c r="H891">
        <v>0</v>
      </c>
      <c r="I891">
        <v>0</v>
      </c>
      <c r="J891">
        <v>93</v>
      </c>
      <c r="K891">
        <v>351</v>
      </c>
      <c r="L891">
        <v>56</v>
      </c>
      <c r="M891">
        <v>500</v>
      </c>
      <c r="P891" s="4"/>
    </row>
    <row r="892" spans="1:16" x14ac:dyDescent="0.3">
      <c r="A892" t="s">
        <v>131</v>
      </c>
      <c r="B892" t="s">
        <v>887</v>
      </c>
      <c r="C892">
        <v>0</v>
      </c>
      <c r="D892">
        <v>0</v>
      </c>
      <c r="E892">
        <v>4</v>
      </c>
      <c r="F892">
        <v>19</v>
      </c>
      <c r="G892">
        <v>13</v>
      </c>
      <c r="H892">
        <v>2</v>
      </c>
      <c r="I892">
        <v>21</v>
      </c>
      <c r="J892">
        <v>23</v>
      </c>
      <c r="K892">
        <v>11</v>
      </c>
      <c r="L892">
        <v>0</v>
      </c>
      <c r="M892">
        <v>93</v>
      </c>
      <c r="P892" s="3"/>
    </row>
    <row r="893" spans="1:16" x14ac:dyDescent="0.3">
      <c r="A893" t="s">
        <v>131</v>
      </c>
      <c r="B893" t="s">
        <v>888</v>
      </c>
      <c r="C893">
        <v>0</v>
      </c>
      <c r="D893">
        <v>0</v>
      </c>
      <c r="E893">
        <v>11</v>
      </c>
      <c r="F893">
        <v>138</v>
      </c>
      <c r="G893">
        <v>234</v>
      </c>
      <c r="H893">
        <v>115</v>
      </c>
      <c r="I893">
        <v>66</v>
      </c>
      <c r="J893">
        <v>46</v>
      </c>
      <c r="K893">
        <v>41</v>
      </c>
      <c r="L893">
        <v>11</v>
      </c>
      <c r="M893">
        <v>662</v>
      </c>
      <c r="P893" s="4"/>
    </row>
    <row r="894" spans="1:16" x14ac:dyDescent="0.3">
      <c r="A894" t="s">
        <v>136</v>
      </c>
      <c r="B894" t="s">
        <v>888</v>
      </c>
      <c r="C894">
        <v>0</v>
      </c>
      <c r="D894">
        <v>0</v>
      </c>
      <c r="E894">
        <v>0</v>
      </c>
      <c r="F894">
        <v>1</v>
      </c>
      <c r="G894">
        <v>0</v>
      </c>
      <c r="H894">
        <v>0</v>
      </c>
      <c r="I894">
        <v>0</v>
      </c>
      <c r="J894">
        <v>0</v>
      </c>
      <c r="K894">
        <v>0</v>
      </c>
      <c r="L894">
        <v>0</v>
      </c>
      <c r="M894">
        <v>1</v>
      </c>
      <c r="P894" s="3"/>
    </row>
    <row r="895" spans="1:16" x14ac:dyDescent="0.3">
      <c r="A895" t="s">
        <v>131</v>
      </c>
      <c r="B895" t="s">
        <v>889</v>
      </c>
      <c r="C895">
        <v>0</v>
      </c>
      <c r="D895">
        <v>0</v>
      </c>
      <c r="E895">
        <v>29</v>
      </c>
      <c r="F895">
        <v>44</v>
      </c>
      <c r="G895">
        <v>3</v>
      </c>
      <c r="H895">
        <v>0</v>
      </c>
      <c r="I895">
        <v>0</v>
      </c>
      <c r="J895">
        <v>0</v>
      </c>
      <c r="K895">
        <v>0</v>
      </c>
      <c r="L895">
        <v>0</v>
      </c>
      <c r="M895">
        <v>76</v>
      </c>
      <c r="P895" s="4"/>
    </row>
    <row r="896" spans="1:16" x14ac:dyDescent="0.3">
      <c r="A896" t="s">
        <v>131</v>
      </c>
      <c r="B896" t="s">
        <v>890</v>
      </c>
      <c r="C896">
        <v>0</v>
      </c>
      <c r="D896">
        <v>0</v>
      </c>
      <c r="E896">
        <v>1</v>
      </c>
      <c r="F896">
        <v>0</v>
      </c>
      <c r="G896">
        <v>0</v>
      </c>
      <c r="H896">
        <v>0</v>
      </c>
      <c r="I896">
        <v>0</v>
      </c>
      <c r="J896">
        <v>0</v>
      </c>
      <c r="K896">
        <v>0</v>
      </c>
      <c r="L896">
        <v>0</v>
      </c>
      <c r="M896">
        <v>1</v>
      </c>
      <c r="P896" s="3"/>
    </row>
    <row r="897" spans="1:16" x14ac:dyDescent="0.3">
      <c r="A897" t="s">
        <v>131</v>
      </c>
      <c r="B897" t="s">
        <v>891</v>
      </c>
      <c r="C897">
        <v>0</v>
      </c>
      <c r="D897">
        <v>0</v>
      </c>
      <c r="E897">
        <v>0</v>
      </c>
      <c r="F897">
        <v>0</v>
      </c>
      <c r="G897">
        <v>41</v>
      </c>
      <c r="H897">
        <v>57</v>
      </c>
      <c r="I897">
        <v>47</v>
      </c>
      <c r="J897">
        <v>0</v>
      </c>
      <c r="K897">
        <v>0</v>
      </c>
      <c r="L897">
        <v>0</v>
      </c>
      <c r="M897">
        <v>145</v>
      </c>
      <c r="P897" s="4"/>
    </row>
    <row r="898" spans="1:16" x14ac:dyDescent="0.3">
      <c r="A898" t="s">
        <v>131</v>
      </c>
      <c r="B898" t="s">
        <v>892</v>
      </c>
      <c r="C898">
        <v>0</v>
      </c>
      <c r="D898">
        <v>0</v>
      </c>
      <c r="E898">
        <v>0</v>
      </c>
      <c r="F898">
        <v>0</v>
      </c>
      <c r="G898">
        <v>0</v>
      </c>
      <c r="H898">
        <v>2</v>
      </c>
      <c r="I898">
        <v>33</v>
      </c>
      <c r="J898">
        <v>66</v>
      </c>
      <c r="K898">
        <v>77</v>
      </c>
      <c r="L898">
        <v>23</v>
      </c>
      <c r="M898">
        <v>201</v>
      </c>
      <c r="P898" s="3"/>
    </row>
    <row r="899" spans="1:16" x14ac:dyDescent="0.3">
      <c r="A899" t="s">
        <v>131</v>
      </c>
      <c r="B899" t="s">
        <v>893</v>
      </c>
      <c r="C899">
        <v>0</v>
      </c>
      <c r="D899">
        <v>0</v>
      </c>
      <c r="E899">
        <v>2</v>
      </c>
      <c r="F899">
        <v>0</v>
      </c>
      <c r="G899">
        <v>0</v>
      </c>
      <c r="H899">
        <v>0</v>
      </c>
      <c r="I899">
        <v>0</v>
      </c>
      <c r="J899">
        <v>0</v>
      </c>
      <c r="K899">
        <v>0</v>
      </c>
      <c r="L899">
        <v>0</v>
      </c>
      <c r="M899">
        <v>2</v>
      </c>
      <c r="P899" s="4"/>
    </row>
    <row r="900" spans="1:16" x14ac:dyDescent="0.3">
      <c r="A900" t="s">
        <v>131</v>
      </c>
      <c r="B900" t="s">
        <v>894</v>
      </c>
      <c r="C900">
        <v>0</v>
      </c>
      <c r="D900">
        <v>0</v>
      </c>
      <c r="E900">
        <v>1</v>
      </c>
      <c r="F900">
        <v>0</v>
      </c>
      <c r="G900">
        <v>0</v>
      </c>
      <c r="H900">
        <v>6</v>
      </c>
      <c r="I900">
        <v>317</v>
      </c>
      <c r="J900">
        <v>1120</v>
      </c>
      <c r="K900">
        <v>3246</v>
      </c>
      <c r="L900">
        <v>1822</v>
      </c>
      <c r="M900">
        <v>6512</v>
      </c>
      <c r="P900" s="3"/>
    </row>
    <row r="901" spans="1:16" x14ac:dyDescent="0.3">
      <c r="A901" t="s">
        <v>136</v>
      </c>
      <c r="B901" t="s">
        <v>894</v>
      </c>
      <c r="C901">
        <v>0</v>
      </c>
      <c r="D901">
        <v>0</v>
      </c>
      <c r="E901">
        <v>0</v>
      </c>
      <c r="F901">
        <v>0</v>
      </c>
      <c r="G901">
        <v>0</v>
      </c>
      <c r="H901">
        <v>0</v>
      </c>
      <c r="I901">
        <v>0</v>
      </c>
      <c r="J901">
        <v>0</v>
      </c>
      <c r="K901">
        <v>1</v>
      </c>
      <c r="L901">
        <v>0</v>
      </c>
      <c r="M901">
        <v>1</v>
      </c>
      <c r="P901" s="4"/>
    </row>
    <row r="902" spans="1:16" x14ac:dyDescent="0.3">
      <c r="A902" t="s">
        <v>131</v>
      </c>
      <c r="B902" t="s">
        <v>895</v>
      </c>
      <c r="C902">
        <v>0</v>
      </c>
      <c r="D902">
        <v>6</v>
      </c>
      <c r="E902">
        <v>62</v>
      </c>
      <c r="F902">
        <v>210</v>
      </c>
      <c r="G902">
        <v>246</v>
      </c>
      <c r="H902">
        <v>156</v>
      </c>
      <c r="I902">
        <v>160</v>
      </c>
      <c r="J902">
        <v>484</v>
      </c>
      <c r="K902">
        <v>572</v>
      </c>
      <c r="L902">
        <v>265</v>
      </c>
      <c r="M902">
        <v>2161</v>
      </c>
      <c r="P902" s="3"/>
    </row>
    <row r="903" spans="1:16" x14ac:dyDescent="0.3">
      <c r="A903" t="s">
        <v>131</v>
      </c>
      <c r="B903" t="s">
        <v>896</v>
      </c>
      <c r="C903">
        <v>0</v>
      </c>
      <c r="D903">
        <v>0</v>
      </c>
      <c r="E903">
        <v>0</v>
      </c>
      <c r="F903">
        <v>219</v>
      </c>
      <c r="G903">
        <v>286</v>
      </c>
      <c r="H903">
        <v>138</v>
      </c>
      <c r="I903">
        <v>301</v>
      </c>
      <c r="J903">
        <v>706</v>
      </c>
      <c r="K903">
        <v>904</v>
      </c>
      <c r="L903">
        <v>514</v>
      </c>
      <c r="M903">
        <v>3068</v>
      </c>
      <c r="P903" s="4"/>
    </row>
    <row r="904" spans="1:16" x14ac:dyDescent="0.3">
      <c r="A904" t="s">
        <v>131</v>
      </c>
      <c r="B904" t="s">
        <v>897</v>
      </c>
      <c r="C904">
        <v>0</v>
      </c>
      <c r="D904">
        <v>0</v>
      </c>
      <c r="E904">
        <v>0</v>
      </c>
      <c r="F904">
        <v>0</v>
      </c>
      <c r="G904">
        <v>285</v>
      </c>
      <c r="H904">
        <v>63</v>
      </c>
      <c r="I904">
        <v>181</v>
      </c>
      <c r="J904">
        <v>1</v>
      </c>
      <c r="K904">
        <v>65</v>
      </c>
      <c r="L904">
        <v>24</v>
      </c>
      <c r="M904">
        <v>619</v>
      </c>
      <c r="P904" s="3"/>
    </row>
    <row r="905" spans="1:16" x14ac:dyDescent="0.3">
      <c r="A905" t="s">
        <v>131</v>
      </c>
      <c r="B905" t="s">
        <v>898</v>
      </c>
      <c r="C905">
        <v>0</v>
      </c>
      <c r="D905">
        <v>0</v>
      </c>
      <c r="E905">
        <v>1</v>
      </c>
      <c r="F905">
        <v>14</v>
      </c>
      <c r="G905">
        <v>12</v>
      </c>
      <c r="H905">
        <v>2</v>
      </c>
      <c r="I905">
        <v>0</v>
      </c>
      <c r="J905">
        <v>0</v>
      </c>
      <c r="K905">
        <v>0</v>
      </c>
      <c r="L905">
        <v>0</v>
      </c>
      <c r="M905">
        <v>29</v>
      </c>
      <c r="P905" s="4"/>
    </row>
    <row r="906" spans="1:16" x14ac:dyDescent="0.3">
      <c r="A906" t="s">
        <v>131</v>
      </c>
      <c r="B906" t="s">
        <v>899</v>
      </c>
      <c r="C906">
        <v>0</v>
      </c>
      <c r="D906">
        <v>1</v>
      </c>
      <c r="E906">
        <v>2</v>
      </c>
      <c r="F906">
        <v>3</v>
      </c>
      <c r="G906">
        <v>20</v>
      </c>
      <c r="H906">
        <v>1</v>
      </c>
      <c r="I906">
        <v>0</v>
      </c>
      <c r="J906">
        <v>0</v>
      </c>
      <c r="K906">
        <v>0</v>
      </c>
      <c r="L906">
        <v>0</v>
      </c>
      <c r="M906">
        <v>27</v>
      </c>
      <c r="P906" s="3"/>
    </row>
    <row r="907" spans="1:16" x14ac:dyDescent="0.3">
      <c r="A907" t="s">
        <v>131</v>
      </c>
      <c r="B907" t="s">
        <v>900</v>
      </c>
      <c r="C907">
        <v>0</v>
      </c>
      <c r="D907">
        <v>0</v>
      </c>
      <c r="E907">
        <v>13</v>
      </c>
      <c r="F907">
        <v>17</v>
      </c>
      <c r="G907">
        <v>29</v>
      </c>
      <c r="H907">
        <v>15</v>
      </c>
      <c r="I907">
        <v>2</v>
      </c>
      <c r="J907">
        <v>1</v>
      </c>
      <c r="K907">
        <v>0</v>
      </c>
      <c r="L907">
        <v>0</v>
      </c>
      <c r="M907">
        <v>77</v>
      </c>
      <c r="P907" s="4"/>
    </row>
    <row r="908" spans="1:16" x14ac:dyDescent="0.3">
      <c r="A908" t="s">
        <v>131</v>
      </c>
      <c r="B908" t="s">
        <v>901</v>
      </c>
      <c r="C908">
        <v>0</v>
      </c>
      <c r="D908">
        <v>1</v>
      </c>
      <c r="E908">
        <v>18</v>
      </c>
      <c r="F908">
        <v>9</v>
      </c>
      <c r="G908">
        <v>44</v>
      </c>
      <c r="H908">
        <v>59</v>
      </c>
      <c r="I908">
        <v>28</v>
      </c>
      <c r="J908">
        <v>24</v>
      </c>
      <c r="K908">
        <v>21</v>
      </c>
      <c r="L908">
        <v>6</v>
      </c>
      <c r="M908">
        <v>210</v>
      </c>
      <c r="P908" s="3"/>
    </row>
    <row r="909" spans="1:16" x14ac:dyDescent="0.3">
      <c r="A909" t="s">
        <v>136</v>
      </c>
      <c r="B909" t="s">
        <v>902</v>
      </c>
      <c r="C909">
        <v>0</v>
      </c>
      <c r="D909">
        <v>0</v>
      </c>
      <c r="E909">
        <v>0</v>
      </c>
      <c r="F909">
        <v>0</v>
      </c>
      <c r="G909">
        <v>0</v>
      </c>
      <c r="H909">
        <v>0</v>
      </c>
      <c r="I909">
        <v>0</v>
      </c>
      <c r="J909">
        <v>0</v>
      </c>
      <c r="K909">
        <v>1950</v>
      </c>
      <c r="L909">
        <v>916</v>
      </c>
      <c r="M909">
        <v>2866</v>
      </c>
      <c r="P909" s="4"/>
    </row>
    <row r="910" spans="1:16" x14ac:dyDescent="0.3">
      <c r="A910" t="s">
        <v>133</v>
      </c>
      <c r="B910" t="s">
        <v>903</v>
      </c>
      <c r="C910">
        <v>3</v>
      </c>
      <c r="D910">
        <v>7</v>
      </c>
      <c r="E910">
        <v>4</v>
      </c>
      <c r="F910">
        <v>0</v>
      </c>
      <c r="G910">
        <v>0</v>
      </c>
      <c r="H910">
        <v>0</v>
      </c>
      <c r="I910">
        <v>0</v>
      </c>
      <c r="J910">
        <v>0</v>
      </c>
      <c r="K910">
        <v>0</v>
      </c>
      <c r="L910">
        <v>0</v>
      </c>
      <c r="M910">
        <v>14</v>
      </c>
      <c r="P910" s="3"/>
    </row>
    <row r="911" spans="1:16" x14ac:dyDescent="0.3">
      <c r="A911" t="s">
        <v>131</v>
      </c>
      <c r="B911" t="s">
        <v>903</v>
      </c>
      <c r="C911">
        <v>5</v>
      </c>
      <c r="D911">
        <v>4</v>
      </c>
      <c r="E911">
        <v>3</v>
      </c>
      <c r="F911">
        <v>11</v>
      </c>
      <c r="G911">
        <v>1</v>
      </c>
      <c r="H911">
        <v>79</v>
      </c>
      <c r="I911">
        <v>2247</v>
      </c>
      <c r="J911">
        <v>7431</v>
      </c>
      <c r="K911">
        <v>21079</v>
      </c>
      <c r="L911">
        <v>12869</v>
      </c>
      <c r="M911">
        <v>43729</v>
      </c>
      <c r="P911" s="4"/>
    </row>
    <row r="912" spans="1:16" x14ac:dyDescent="0.3">
      <c r="A912" t="s">
        <v>136</v>
      </c>
      <c r="B912" t="s">
        <v>903</v>
      </c>
      <c r="C912">
        <v>0</v>
      </c>
      <c r="D912">
        <v>0</v>
      </c>
      <c r="E912">
        <v>0</v>
      </c>
      <c r="F912">
        <v>0</v>
      </c>
      <c r="G912">
        <v>0</v>
      </c>
      <c r="H912">
        <v>0</v>
      </c>
      <c r="I912">
        <v>19</v>
      </c>
      <c r="J912">
        <v>3</v>
      </c>
      <c r="K912">
        <v>10</v>
      </c>
      <c r="L912">
        <v>8</v>
      </c>
      <c r="M912">
        <v>40</v>
      </c>
      <c r="P912" s="3"/>
    </row>
    <row r="913" spans="1:16" x14ac:dyDescent="0.3">
      <c r="A913" t="s">
        <v>131</v>
      </c>
      <c r="B913" t="s">
        <v>904</v>
      </c>
      <c r="C913">
        <v>0</v>
      </c>
      <c r="D913">
        <v>0</v>
      </c>
      <c r="E913">
        <v>0</v>
      </c>
      <c r="F913">
        <v>0</v>
      </c>
      <c r="G913">
        <v>0</v>
      </c>
      <c r="H913">
        <v>0</v>
      </c>
      <c r="I913">
        <v>1</v>
      </c>
      <c r="J913">
        <v>0</v>
      </c>
      <c r="K913">
        <v>0</v>
      </c>
      <c r="L913">
        <v>0</v>
      </c>
      <c r="M913">
        <v>1</v>
      </c>
      <c r="P913" s="4"/>
    </row>
    <row r="914" spans="1:16" x14ac:dyDescent="0.3">
      <c r="A914" t="s">
        <v>136</v>
      </c>
      <c r="B914" t="s">
        <v>905</v>
      </c>
      <c r="C914">
        <v>0</v>
      </c>
      <c r="D914">
        <v>0</v>
      </c>
      <c r="E914">
        <v>0</v>
      </c>
      <c r="F914">
        <v>0</v>
      </c>
      <c r="G914">
        <v>0</v>
      </c>
      <c r="H914">
        <v>0</v>
      </c>
      <c r="I914">
        <v>0</v>
      </c>
      <c r="J914">
        <v>0</v>
      </c>
      <c r="K914">
        <v>22</v>
      </c>
      <c r="L914">
        <v>27</v>
      </c>
      <c r="M914">
        <v>49</v>
      </c>
      <c r="P914" s="3"/>
    </row>
    <row r="915" spans="1:16" x14ac:dyDescent="0.3">
      <c r="A915" t="s">
        <v>131</v>
      </c>
      <c r="B915" t="s">
        <v>906</v>
      </c>
      <c r="C915">
        <v>0</v>
      </c>
      <c r="D915">
        <v>0</v>
      </c>
      <c r="E915">
        <v>271</v>
      </c>
      <c r="F915">
        <v>503</v>
      </c>
      <c r="G915">
        <v>504</v>
      </c>
      <c r="H915">
        <v>255</v>
      </c>
      <c r="I915">
        <v>206</v>
      </c>
      <c r="J915">
        <v>34</v>
      </c>
      <c r="K915">
        <v>18</v>
      </c>
      <c r="L915">
        <v>360</v>
      </c>
      <c r="M915">
        <v>2151</v>
      </c>
      <c r="P915" s="4"/>
    </row>
    <row r="916" spans="1:16" x14ac:dyDescent="0.3">
      <c r="A916" t="s">
        <v>136</v>
      </c>
      <c r="B916" t="s">
        <v>907</v>
      </c>
      <c r="C916">
        <v>0</v>
      </c>
      <c r="D916">
        <v>0</v>
      </c>
      <c r="E916">
        <v>0</v>
      </c>
      <c r="F916">
        <v>0</v>
      </c>
      <c r="G916">
        <v>1</v>
      </c>
      <c r="H916">
        <v>0</v>
      </c>
      <c r="I916">
        <v>0</v>
      </c>
      <c r="J916">
        <v>0</v>
      </c>
      <c r="K916">
        <v>0</v>
      </c>
      <c r="L916">
        <v>0</v>
      </c>
      <c r="M916">
        <v>1</v>
      </c>
      <c r="P916" s="3"/>
    </row>
    <row r="917" spans="1:16" x14ac:dyDescent="0.3">
      <c r="A917" t="s">
        <v>181</v>
      </c>
      <c r="B917" t="s">
        <v>907</v>
      </c>
      <c r="C917">
        <v>0</v>
      </c>
      <c r="D917">
        <v>0</v>
      </c>
      <c r="E917">
        <v>0</v>
      </c>
      <c r="F917">
        <v>0</v>
      </c>
      <c r="G917">
        <v>0</v>
      </c>
      <c r="H917">
        <v>2</v>
      </c>
      <c r="I917">
        <v>1</v>
      </c>
      <c r="J917">
        <v>0</v>
      </c>
      <c r="K917">
        <v>0</v>
      </c>
      <c r="L917">
        <v>5</v>
      </c>
      <c r="M917">
        <v>8</v>
      </c>
      <c r="P917" s="4"/>
    </row>
    <row r="918" spans="1:16" x14ac:dyDescent="0.3">
      <c r="A918" t="s">
        <v>136</v>
      </c>
      <c r="B918" t="s">
        <v>908</v>
      </c>
      <c r="C918">
        <v>1</v>
      </c>
      <c r="D918">
        <v>0</v>
      </c>
      <c r="E918">
        <v>2</v>
      </c>
      <c r="F918">
        <v>0</v>
      </c>
      <c r="G918">
        <v>0</v>
      </c>
      <c r="H918">
        <v>0</v>
      </c>
      <c r="I918">
        <v>0</v>
      </c>
      <c r="J918">
        <v>0</v>
      </c>
      <c r="K918">
        <v>0</v>
      </c>
      <c r="L918">
        <v>0</v>
      </c>
      <c r="M918">
        <v>3</v>
      </c>
      <c r="P918" s="3"/>
    </row>
    <row r="919" spans="1:16" x14ac:dyDescent="0.3">
      <c r="A919" t="s">
        <v>131</v>
      </c>
      <c r="B919" t="s">
        <v>909</v>
      </c>
      <c r="C919">
        <v>0</v>
      </c>
      <c r="D919">
        <v>0</v>
      </c>
      <c r="E919">
        <v>0</v>
      </c>
      <c r="F919">
        <v>0</v>
      </c>
      <c r="G919">
        <v>0</v>
      </c>
      <c r="H919">
        <v>0</v>
      </c>
      <c r="I919">
        <v>2</v>
      </c>
      <c r="J919">
        <v>1</v>
      </c>
      <c r="K919">
        <v>65</v>
      </c>
      <c r="L919">
        <v>249</v>
      </c>
      <c r="M919">
        <v>317</v>
      </c>
      <c r="P919" s="4"/>
    </row>
    <row r="920" spans="1:16" x14ac:dyDescent="0.3">
      <c r="A920" t="s">
        <v>133</v>
      </c>
      <c r="B920" t="s">
        <v>910</v>
      </c>
      <c r="C920">
        <v>0</v>
      </c>
      <c r="D920">
        <v>0</v>
      </c>
      <c r="E920">
        <v>0</v>
      </c>
      <c r="F920">
        <v>0</v>
      </c>
      <c r="G920">
        <v>0</v>
      </c>
      <c r="H920">
        <v>0</v>
      </c>
      <c r="I920">
        <v>0</v>
      </c>
      <c r="J920">
        <v>23</v>
      </c>
      <c r="K920">
        <v>214</v>
      </c>
      <c r="L920">
        <v>89</v>
      </c>
      <c r="M920">
        <v>326</v>
      </c>
      <c r="P920" s="3"/>
    </row>
    <row r="921" spans="1:16" x14ac:dyDescent="0.3">
      <c r="A921" t="s">
        <v>131</v>
      </c>
      <c r="B921" t="s">
        <v>911</v>
      </c>
      <c r="C921">
        <v>0</v>
      </c>
      <c r="D921">
        <v>0</v>
      </c>
      <c r="E921">
        <v>1</v>
      </c>
      <c r="F921">
        <v>0</v>
      </c>
      <c r="G921">
        <v>0</v>
      </c>
      <c r="H921">
        <v>0</v>
      </c>
      <c r="I921">
        <v>0</v>
      </c>
      <c r="J921">
        <v>0</v>
      </c>
      <c r="K921">
        <v>0</v>
      </c>
      <c r="L921">
        <v>0</v>
      </c>
      <c r="M921">
        <v>1</v>
      </c>
      <c r="P921" s="4"/>
    </row>
    <row r="922" spans="1:16" x14ac:dyDescent="0.3">
      <c r="A922" t="s">
        <v>136</v>
      </c>
      <c r="B922" t="s">
        <v>912</v>
      </c>
      <c r="C922">
        <v>0</v>
      </c>
      <c r="D922">
        <v>0</v>
      </c>
      <c r="E922">
        <v>0</v>
      </c>
      <c r="F922">
        <v>0</v>
      </c>
      <c r="G922">
        <v>0</v>
      </c>
      <c r="H922">
        <v>0</v>
      </c>
      <c r="I922">
        <v>0</v>
      </c>
      <c r="J922">
        <v>60</v>
      </c>
      <c r="K922">
        <v>96</v>
      </c>
      <c r="L922">
        <v>54</v>
      </c>
      <c r="M922">
        <v>210</v>
      </c>
      <c r="P922" s="3"/>
    </row>
    <row r="923" spans="1:16" x14ac:dyDescent="0.3">
      <c r="A923" t="s">
        <v>133</v>
      </c>
      <c r="B923" t="s">
        <v>913</v>
      </c>
      <c r="C923">
        <v>0</v>
      </c>
      <c r="D923">
        <v>0</v>
      </c>
      <c r="E923">
        <v>0</v>
      </c>
      <c r="F923">
        <v>0</v>
      </c>
      <c r="G923">
        <v>0</v>
      </c>
      <c r="H923">
        <v>0</v>
      </c>
      <c r="I923">
        <v>0</v>
      </c>
      <c r="J923">
        <v>0</v>
      </c>
      <c r="K923">
        <v>0</v>
      </c>
      <c r="L923">
        <v>5</v>
      </c>
      <c r="M923">
        <v>5</v>
      </c>
      <c r="P923" s="4"/>
    </row>
    <row r="924" spans="1:16" x14ac:dyDescent="0.3">
      <c r="A924" t="s">
        <v>136</v>
      </c>
      <c r="B924" t="s">
        <v>914</v>
      </c>
      <c r="C924">
        <v>0</v>
      </c>
      <c r="D924">
        <v>0</v>
      </c>
      <c r="E924">
        <v>0</v>
      </c>
      <c r="F924">
        <v>0</v>
      </c>
      <c r="G924">
        <v>0</v>
      </c>
      <c r="H924">
        <v>0</v>
      </c>
      <c r="I924">
        <v>0</v>
      </c>
      <c r="J924">
        <v>0</v>
      </c>
      <c r="K924">
        <v>0</v>
      </c>
      <c r="L924">
        <v>9</v>
      </c>
      <c r="M924">
        <v>9</v>
      </c>
      <c r="P924" s="3"/>
    </row>
    <row r="925" spans="1:16" x14ac:dyDescent="0.3">
      <c r="A925" t="s">
        <v>131</v>
      </c>
      <c r="B925" t="s">
        <v>915</v>
      </c>
      <c r="C925">
        <v>0</v>
      </c>
      <c r="D925">
        <v>0</v>
      </c>
      <c r="E925">
        <v>0</v>
      </c>
      <c r="F925">
        <v>35</v>
      </c>
      <c r="G925">
        <v>23</v>
      </c>
      <c r="H925">
        <v>15</v>
      </c>
      <c r="I925">
        <v>30</v>
      </c>
      <c r="J925">
        <v>40</v>
      </c>
      <c r="K925">
        <v>101</v>
      </c>
      <c r="L925">
        <v>30</v>
      </c>
      <c r="M925">
        <v>274</v>
      </c>
      <c r="P925" s="4"/>
    </row>
    <row r="926" spans="1:16" x14ac:dyDescent="0.3">
      <c r="A926" t="s">
        <v>131</v>
      </c>
      <c r="B926" t="s">
        <v>916</v>
      </c>
      <c r="C926">
        <v>0</v>
      </c>
      <c r="D926">
        <v>0</v>
      </c>
      <c r="E926">
        <v>0</v>
      </c>
      <c r="F926">
        <v>0</v>
      </c>
      <c r="G926">
        <v>0</v>
      </c>
      <c r="H926">
        <v>0</v>
      </c>
      <c r="I926">
        <v>0</v>
      </c>
      <c r="J926">
        <v>6</v>
      </c>
      <c r="K926">
        <v>8</v>
      </c>
      <c r="L926">
        <v>9</v>
      </c>
      <c r="M926">
        <v>23</v>
      </c>
      <c r="P926" s="3"/>
    </row>
    <row r="927" spans="1:16" x14ac:dyDescent="0.3">
      <c r="A927" t="s">
        <v>131</v>
      </c>
      <c r="B927" t="s">
        <v>917</v>
      </c>
      <c r="C927">
        <v>0</v>
      </c>
      <c r="D927">
        <v>0</v>
      </c>
      <c r="E927">
        <v>0</v>
      </c>
      <c r="F927">
        <v>5</v>
      </c>
      <c r="G927">
        <v>0</v>
      </c>
      <c r="H927">
        <v>10</v>
      </c>
      <c r="I927">
        <v>2</v>
      </c>
      <c r="J927">
        <v>47</v>
      </c>
      <c r="K927">
        <v>206</v>
      </c>
      <c r="L927">
        <v>94</v>
      </c>
      <c r="M927">
        <v>364</v>
      </c>
      <c r="P927" s="4"/>
    </row>
    <row r="928" spans="1:16" x14ac:dyDescent="0.3">
      <c r="A928" t="s">
        <v>131</v>
      </c>
      <c r="B928" t="s">
        <v>918</v>
      </c>
      <c r="C928">
        <v>0</v>
      </c>
      <c r="D928">
        <v>0</v>
      </c>
      <c r="E928">
        <v>0</v>
      </c>
      <c r="F928">
        <v>0</v>
      </c>
      <c r="G928">
        <v>0</v>
      </c>
      <c r="H928">
        <v>0</v>
      </c>
      <c r="I928">
        <v>0</v>
      </c>
      <c r="J928">
        <v>0</v>
      </c>
      <c r="K928">
        <v>33</v>
      </c>
      <c r="L928">
        <v>79</v>
      </c>
      <c r="M928">
        <v>112</v>
      </c>
      <c r="P928" s="3"/>
    </row>
    <row r="929" spans="1:16" x14ac:dyDescent="0.3">
      <c r="A929" t="s">
        <v>131</v>
      </c>
      <c r="B929" t="s">
        <v>919</v>
      </c>
      <c r="C929">
        <v>0</v>
      </c>
      <c r="D929">
        <v>0</v>
      </c>
      <c r="E929">
        <v>1</v>
      </c>
      <c r="F929">
        <v>0</v>
      </c>
      <c r="G929">
        <v>0</v>
      </c>
      <c r="H929">
        <v>0</v>
      </c>
      <c r="I929">
        <v>0</v>
      </c>
      <c r="J929">
        <v>0</v>
      </c>
      <c r="K929">
        <v>0</v>
      </c>
      <c r="L929">
        <v>0</v>
      </c>
      <c r="M929">
        <v>1</v>
      </c>
      <c r="P929" s="4"/>
    </row>
    <row r="930" spans="1:16" x14ac:dyDescent="0.3">
      <c r="A930" t="s">
        <v>131</v>
      </c>
      <c r="B930" t="s">
        <v>920</v>
      </c>
      <c r="C930">
        <v>0</v>
      </c>
      <c r="D930">
        <v>0</v>
      </c>
      <c r="E930">
        <v>0</v>
      </c>
      <c r="F930">
        <v>0</v>
      </c>
      <c r="G930">
        <v>0</v>
      </c>
      <c r="H930">
        <v>0</v>
      </c>
      <c r="I930">
        <v>0</v>
      </c>
      <c r="J930">
        <v>0</v>
      </c>
      <c r="K930">
        <v>13</v>
      </c>
      <c r="L930">
        <v>99</v>
      </c>
      <c r="M930">
        <v>112</v>
      </c>
      <c r="P930" s="3"/>
    </row>
    <row r="931" spans="1:16" x14ac:dyDescent="0.3">
      <c r="A931" t="s">
        <v>131</v>
      </c>
      <c r="B931" t="s">
        <v>921</v>
      </c>
      <c r="C931">
        <v>0</v>
      </c>
      <c r="D931">
        <v>0</v>
      </c>
      <c r="E931">
        <v>0</v>
      </c>
      <c r="F931">
        <v>2</v>
      </c>
      <c r="G931">
        <v>19</v>
      </c>
      <c r="H931">
        <v>30</v>
      </c>
      <c r="I931">
        <v>48</v>
      </c>
      <c r="J931">
        <v>46</v>
      </c>
      <c r="K931">
        <v>65</v>
      </c>
      <c r="L931">
        <v>65</v>
      </c>
      <c r="M931">
        <v>275</v>
      </c>
      <c r="P931" s="4"/>
    </row>
    <row r="932" spans="1:16" x14ac:dyDescent="0.3">
      <c r="A932" t="s">
        <v>131</v>
      </c>
      <c r="B932" t="s">
        <v>922</v>
      </c>
      <c r="C932">
        <v>0</v>
      </c>
      <c r="D932">
        <v>0</v>
      </c>
      <c r="E932">
        <v>10</v>
      </c>
      <c r="F932">
        <v>0</v>
      </c>
      <c r="G932">
        <v>0</v>
      </c>
      <c r="H932">
        <v>0</v>
      </c>
      <c r="I932">
        <v>0</v>
      </c>
      <c r="J932">
        <v>0</v>
      </c>
      <c r="K932">
        <v>0</v>
      </c>
      <c r="L932">
        <v>0</v>
      </c>
      <c r="M932">
        <v>10</v>
      </c>
      <c r="P932" s="3"/>
    </row>
    <row r="933" spans="1:16" x14ac:dyDescent="0.3">
      <c r="A933" t="s">
        <v>131</v>
      </c>
      <c r="B933" t="s">
        <v>923</v>
      </c>
      <c r="C933">
        <v>0</v>
      </c>
      <c r="D933">
        <v>0</v>
      </c>
      <c r="E933">
        <v>1</v>
      </c>
      <c r="F933">
        <v>0</v>
      </c>
      <c r="G933">
        <v>0</v>
      </c>
      <c r="H933">
        <v>0</v>
      </c>
      <c r="I933">
        <v>0</v>
      </c>
      <c r="J933">
        <v>0</v>
      </c>
      <c r="K933">
        <v>0</v>
      </c>
      <c r="L933">
        <v>0</v>
      </c>
      <c r="M933">
        <v>1</v>
      </c>
      <c r="P933" s="4"/>
    </row>
    <row r="934" spans="1:16" x14ac:dyDescent="0.3">
      <c r="A934" t="s">
        <v>131</v>
      </c>
      <c r="B934" t="s">
        <v>924</v>
      </c>
      <c r="C934">
        <v>0</v>
      </c>
      <c r="D934">
        <v>0</v>
      </c>
      <c r="E934">
        <v>18</v>
      </c>
      <c r="F934">
        <v>23</v>
      </c>
      <c r="G934">
        <v>9</v>
      </c>
      <c r="H934">
        <v>13</v>
      </c>
      <c r="I934">
        <v>21</v>
      </c>
      <c r="J934">
        <v>0</v>
      </c>
      <c r="K934">
        <v>6</v>
      </c>
      <c r="L934">
        <v>11</v>
      </c>
      <c r="M934">
        <v>101</v>
      </c>
      <c r="P934" s="3"/>
    </row>
    <row r="935" spans="1:16" x14ac:dyDescent="0.3">
      <c r="A935" t="s">
        <v>131</v>
      </c>
      <c r="B935" t="s">
        <v>925</v>
      </c>
      <c r="C935">
        <v>0</v>
      </c>
      <c r="D935">
        <v>0</v>
      </c>
      <c r="E935">
        <v>0</v>
      </c>
      <c r="F935">
        <v>0</v>
      </c>
      <c r="G935">
        <v>0</v>
      </c>
      <c r="H935">
        <v>0</v>
      </c>
      <c r="I935">
        <v>16</v>
      </c>
      <c r="J935">
        <v>321</v>
      </c>
      <c r="K935">
        <v>500</v>
      </c>
      <c r="L935">
        <v>220</v>
      </c>
      <c r="M935">
        <v>1057</v>
      </c>
      <c r="P935" s="4"/>
    </row>
    <row r="936" spans="1:16" x14ac:dyDescent="0.3">
      <c r="A936" t="s">
        <v>131</v>
      </c>
      <c r="B936" t="s">
        <v>926</v>
      </c>
      <c r="C936">
        <v>0</v>
      </c>
      <c r="D936">
        <v>0</v>
      </c>
      <c r="E936">
        <v>0</v>
      </c>
      <c r="F936">
        <v>0</v>
      </c>
      <c r="G936">
        <v>2</v>
      </c>
      <c r="H936">
        <v>0</v>
      </c>
      <c r="I936">
        <v>0</v>
      </c>
      <c r="J936">
        <v>0</v>
      </c>
      <c r="K936">
        <v>0</v>
      </c>
      <c r="L936">
        <v>0</v>
      </c>
      <c r="M936">
        <v>2</v>
      </c>
      <c r="P936" s="3"/>
    </row>
    <row r="937" spans="1:16" x14ac:dyDescent="0.3">
      <c r="A937" t="s">
        <v>131</v>
      </c>
      <c r="B937" t="s">
        <v>927</v>
      </c>
      <c r="C937">
        <v>0</v>
      </c>
      <c r="D937">
        <v>0</v>
      </c>
      <c r="E937">
        <v>0</v>
      </c>
      <c r="F937">
        <v>0</v>
      </c>
      <c r="G937">
        <v>0</v>
      </c>
      <c r="H937">
        <v>0</v>
      </c>
      <c r="I937">
        <v>0</v>
      </c>
      <c r="J937">
        <v>0</v>
      </c>
      <c r="K937">
        <v>40</v>
      </c>
      <c r="L937">
        <v>99</v>
      </c>
      <c r="M937">
        <v>139</v>
      </c>
      <c r="P937" s="4"/>
    </row>
    <row r="938" spans="1:16" x14ac:dyDescent="0.3">
      <c r="A938" t="s">
        <v>131</v>
      </c>
      <c r="B938" t="s">
        <v>928</v>
      </c>
      <c r="C938">
        <v>0</v>
      </c>
      <c r="D938">
        <v>0</v>
      </c>
      <c r="E938">
        <v>38</v>
      </c>
      <c r="F938">
        <v>1013</v>
      </c>
      <c r="G938">
        <v>2606</v>
      </c>
      <c r="H938">
        <v>1354</v>
      </c>
      <c r="I938">
        <v>457</v>
      </c>
      <c r="J938">
        <v>120</v>
      </c>
      <c r="K938">
        <v>16</v>
      </c>
      <c r="L938">
        <v>12</v>
      </c>
      <c r="M938">
        <v>5616</v>
      </c>
      <c r="P938" s="3"/>
    </row>
    <row r="939" spans="1:16" x14ac:dyDescent="0.3">
      <c r="A939" t="s">
        <v>131</v>
      </c>
      <c r="B939" t="s">
        <v>929</v>
      </c>
      <c r="C939">
        <v>0</v>
      </c>
      <c r="D939">
        <v>0</v>
      </c>
      <c r="E939">
        <v>0</v>
      </c>
      <c r="F939">
        <v>0</v>
      </c>
      <c r="G939">
        <v>0</v>
      </c>
      <c r="H939">
        <v>5</v>
      </c>
      <c r="I939">
        <v>13</v>
      </c>
      <c r="J939">
        <v>15</v>
      </c>
      <c r="K939">
        <v>0</v>
      </c>
      <c r="L939">
        <v>0</v>
      </c>
      <c r="M939">
        <v>33</v>
      </c>
      <c r="P939" s="4"/>
    </row>
    <row r="940" spans="1:16" x14ac:dyDescent="0.3">
      <c r="A940" t="s">
        <v>131</v>
      </c>
      <c r="B940" t="s">
        <v>930</v>
      </c>
      <c r="C940">
        <v>0</v>
      </c>
      <c r="D940">
        <v>0</v>
      </c>
      <c r="E940">
        <v>0</v>
      </c>
      <c r="F940">
        <v>0</v>
      </c>
      <c r="G940">
        <v>0</v>
      </c>
      <c r="H940">
        <v>0</v>
      </c>
      <c r="I940">
        <v>0</v>
      </c>
      <c r="J940">
        <v>0</v>
      </c>
      <c r="K940">
        <v>22</v>
      </c>
      <c r="L940">
        <v>37</v>
      </c>
      <c r="M940">
        <v>59</v>
      </c>
      <c r="P940" s="3"/>
    </row>
    <row r="941" spans="1:16" x14ac:dyDescent="0.3">
      <c r="A941" t="s">
        <v>136</v>
      </c>
      <c r="B941" t="s">
        <v>931</v>
      </c>
      <c r="C941">
        <v>0</v>
      </c>
      <c r="D941">
        <v>1</v>
      </c>
      <c r="E941">
        <v>0</v>
      </c>
      <c r="F941">
        <v>0</v>
      </c>
      <c r="G941">
        <v>0</v>
      </c>
      <c r="H941">
        <v>0</v>
      </c>
      <c r="I941">
        <v>0</v>
      </c>
      <c r="J941">
        <v>0</v>
      </c>
      <c r="K941">
        <v>0</v>
      </c>
      <c r="L941">
        <v>0</v>
      </c>
      <c r="M941">
        <v>1</v>
      </c>
      <c r="P941" s="4"/>
    </row>
    <row r="942" spans="1:16" x14ac:dyDescent="0.3">
      <c r="A942" t="s">
        <v>133</v>
      </c>
      <c r="B942" t="s">
        <v>932</v>
      </c>
      <c r="C942">
        <v>0</v>
      </c>
      <c r="D942">
        <v>0</v>
      </c>
      <c r="E942">
        <v>0</v>
      </c>
      <c r="F942">
        <v>0</v>
      </c>
      <c r="G942">
        <v>0</v>
      </c>
      <c r="H942">
        <v>720</v>
      </c>
      <c r="I942">
        <v>11044</v>
      </c>
      <c r="J942">
        <v>14953</v>
      </c>
      <c r="K942">
        <v>7191</v>
      </c>
      <c r="L942">
        <v>3143</v>
      </c>
      <c r="M942">
        <v>37051</v>
      </c>
      <c r="P942" s="3"/>
    </row>
    <row r="943" spans="1:16" x14ac:dyDescent="0.3">
      <c r="A943" t="s">
        <v>131</v>
      </c>
      <c r="B943" t="s">
        <v>933</v>
      </c>
      <c r="C943">
        <v>0</v>
      </c>
      <c r="D943">
        <v>0</v>
      </c>
      <c r="E943">
        <v>0</v>
      </c>
      <c r="F943">
        <v>0</v>
      </c>
      <c r="G943">
        <v>1</v>
      </c>
      <c r="H943">
        <v>0</v>
      </c>
      <c r="I943">
        <v>13</v>
      </c>
      <c r="J943">
        <v>35</v>
      </c>
      <c r="K943">
        <v>23</v>
      </c>
      <c r="L943">
        <v>8</v>
      </c>
      <c r="M943">
        <v>80</v>
      </c>
      <c r="P943" s="4"/>
    </row>
    <row r="944" spans="1:16" x14ac:dyDescent="0.3">
      <c r="A944" t="s">
        <v>131</v>
      </c>
      <c r="B944" t="s">
        <v>934</v>
      </c>
      <c r="C944">
        <v>0</v>
      </c>
      <c r="D944">
        <v>0</v>
      </c>
      <c r="E944">
        <v>1</v>
      </c>
      <c r="F944">
        <v>0</v>
      </c>
      <c r="G944">
        <v>0</v>
      </c>
      <c r="H944">
        <v>0</v>
      </c>
      <c r="I944">
        <v>0</v>
      </c>
      <c r="J944">
        <v>0</v>
      </c>
      <c r="K944">
        <v>0</v>
      </c>
      <c r="L944">
        <v>0</v>
      </c>
      <c r="M944">
        <v>1</v>
      </c>
      <c r="P944" s="3"/>
    </row>
    <row r="945" spans="1:16" x14ac:dyDescent="0.3">
      <c r="A945" t="s">
        <v>131</v>
      </c>
      <c r="B945" t="s">
        <v>935</v>
      </c>
      <c r="C945">
        <v>0</v>
      </c>
      <c r="D945">
        <v>0</v>
      </c>
      <c r="E945">
        <v>0</v>
      </c>
      <c r="F945">
        <v>0</v>
      </c>
      <c r="G945">
        <v>14</v>
      </c>
      <c r="H945">
        <v>23</v>
      </c>
      <c r="I945">
        <v>45</v>
      </c>
      <c r="J945">
        <v>125</v>
      </c>
      <c r="K945">
        <v>338</v>
      </c>
      <c r="L945">
        <v>462</v>
      </c>
      <c r="M945">
        <v>1007</v>
      </c>
      <c r="P945" s="4"/>
    </row>
    <row r="946" spans="1:16" x14ac:dyDescent="0.3">
      <c r="A946" t="s">
        <v>133</v>
      </c>
      <c r="B946" t="s">
        <v>936</v>
      </c>
      <c r="C946">
        <v>0</v>
      </c>
      <c r="D946">
        <v>0</v>
      </c>
      <c r="E946">
        <v>0</v>
      </c>
      <c r="F946">
        <v>0</v>
      </c>
      <c r="G946">
        <v>0</v>
      </c>
      <c r="H946">
        <v>0</v>
      </c>
      <c r="I946">
        <v>0</v>
      </c>
      <c r="J946">
        <v>0</v>
      </c>
      <c r="K946">
        <v>81</v>
      </c>
      <c r="L946">
        <v>28</v>
      </c>
      <c r="M946">
        <v>109</v>
      </c>
      <c r="P946" s="3"/>
    </row>
    <row r="947" spans="1:16" x14ac:dyDescent="0.3">
      <c r="A947" t="s">
        <v>133</v>
      </c>
      <c r="B947" t="s">
        <v>937</v>
      </c>
      <c r="C947">
        <v>0</v>
      </c>
      <c r="D947">
        <v>0</v>
      </c>
      <c r="E947">
        <v>0</v>
      </c>
      <c r="F947">
        <v>0</v>
      </c>
      <c r="G947">
        <v>0</v>
      </c>
      <c r="H947">
        <v>0</v>
      </c>
      <c r="I947">
        <v>0</v>
      </c>
      <c r="J947">
        <v>0</v>
      </c>
      <c r="K947">
        <v>10</v>
      </c>
      <c r="L947">
        <v>21</v>
      </c>
      <c r="M947">
        <v>31</v>
      </c>
      <c r="P947" s="4"/>
    </row>
    <row r="948" spans="1:16" x14ac:dyDescent="0.3">
      <c r="A948" t="s">
        <v>133</v>
      </c>
      <c r="B948" t="s">
        <v>938</v>
      </c>
      <c r="C948">
        <v>0</v>
      </c>
      <c r="D948">
        <v>0</v>
      </c>
      <c r="E948">
        <v>0</v>
      </c>
      <c r="F948">
        <v>0</v>
      </c>
      <c r="G948">
        <v>0</v>
      </c>
      <c r="H948">
        <v>0</v>
      </c>
      <c r="I948">
        <v>0</v>
      </c>
      <c r="J948">
        <v>25</v>
      </c>
      <c r="K948">
        <v>2371</v>
      </c>
      <c r="L948">
        <v>3178</v>
      </c>
      <c r="M948">
        <v>5574</v>
      </c>
      <c r="P948" s="3"/>
    </row>
    <row r="949" spans="1:16" x14ac:dyDescent="0.3">
      <c r="A949" t="s">
        <v>136</v>
      </c>
      <c r="B949" t="s">
        <v>938</v>
      </c>
      <c r="C949">
        <v>0</v>
      </c>
      <c r="D949">
        <v>0</v>
      </c>
      <c r="E949">
        <v>0</v>
      </c>
      <c r="F949">
        <v>0</v>
      </c>
      <c r="G949">
        <v>0</v>
      </c>
      <c r="H949">
        <v>0</v>
      </c>
      <c r="I949">
        <v>0</v>
      </c>
      <c r="J949">
        <v>0</v>
      </c>
      <c r="K949">
        <v>2</v>
      </c>
      <c r="L949">
        <v>0</v>
      </c>
      <c r="M949">
        <v>2</v>
      </c>
      <c r="P949" s="4"/>
    </row>
    <row r="950" spans="1:16" x14ac:dyDescent="0.3">
      <c r="A950" t="s">
        <v>136</v>
      </c>
      <c r="B950" t="s">
        <v>939</v>
      </c>
      <c r="C950">
        <v>1</v>
      </c>
      <c r="D950">
        <v>0</v>
      </c>
      <c r="E950">
        <v>0</v>
      </c>
      <c r="F950">
        <v>0</v>
      </c>
      <c r="G950">
        <v>0</v>
      </c>
      <c r="H950">
        <v>0</v>
      </c>
      <c r="I950">
        <v>0</v>
      </c>
      <c r="J950">
        <v>0</v>
      </c>
      <c r="K950">
        <v>0</v>
      </c>
      <c r="L950">
        <v>0</v>
      </c>
      <c r="M950">
        <v>1</v>
      </c>
      <c r="P950" s="3"/>
    </row>
    <row r="951" spans="1:16" x14ac:dyDescent="0.3">
      <c r="A951" t="s">
        <v>131</v>
      </c>
      <c r="B951" t="s">
        <v>940</v>
      </c>
      <c r="C951">
        <v>0</v>
      </c>
      <c r="D951">
        <v>0</v>
      </c>
      <c r="E951">
        <v>0</v>
      </c>
      <c r="F951">
        <v>0</v>
      </c>
      <c r="G951">
        <v>77</v>
      </c>
      <c r="H951">
        <v>229</v>
      </c>
      <c r="I951">
        <v>96</v>
      </c>
      <c r="J951">
        <v>170</v>
      </c>
      <c r="K951">
        <v>501</v>
      </c>
      <c r="L951">
        <v>276</v>
      </c>
      <c r="M951">
        <v>1349</v>
      </c>
      <c r="P951" s="4"/>
    </row>
    <row r="952" spans="1:16" x14ac:dyDescent="0.3">
      <c r="A952" t="s">
        <v>131</v>
      </c>
      <c r="B952" t="s">
        <v>941</v>
      </c>
      <c r="C952">
        <v>0</v>
      </c>
      <c r="D952">
        <v>0</v>
      </c>
      <c r="E952">
        <v>1</v>
      </c>
      <c r="F952">
        <v>0</v>
      </c>
      <c r="G952">
        <v>0</v>
      </c>
      <c r="H952">
        <v>0</v>
      </c>
      <c r="I952">
        <v>0</v>
      </c>
      <c r="J952">
        <v>0</v>
      </c>
      <c r="K952">
        <v>0</v>
      </c>
      <c r="L952">
        <v>0</v>
      </c>
      <c r="M952">
        <v>1</v>
      </c>
      <c r="P952" s="3"/>
    </row>
    <row r="953" spans="1:16" x14ac:dyDescent="0.3">
      <c r="A953" t="s">
        <v>131</v>
      </c>
      <c r="B953" t="s">
        <v>942</v>
      </c>
      <c r="C953">
        <v>0</v>
      </c>
      <c r="D953">
        <v>0</v>
      </c>
      <c r="E953">
        <v>0</v>
      </c>
      <c r="F953">
        <v>0</v>
      </c>
      <c r="G953">
        <v>0</v>
      </c>
      <c r="H953">
        <v>7</v>
      </c>
      <c r="I953">
        <v>35</v>
      </c>
      <c r="J953">
        <v>20</v>
      </c>
      <c r="K953">
        <v>18</v>
      </c>
      <c r="L953">
        <v>9</v>
      </c>
      <c r="M953">
        <v>89</v>
      </c>
      <c r="P953" s="4"/>
    </row>
    <row r="954" spans="1:16" x14ac:dyDescent="0.3">
      <c r="A954" t="s">
        <v>131</v>
      </c>
      <c r="B954" t="s">
        <v>943</v>
      </c>
      <c r="C954">
        <v>0</v>
      </c>
      <c r="D954">
        <v>0</v>
      </c>
      <c r="E954">
        <v>0</v>
      </c>
      <c r="F954">
        <v>0</v>
      </c>
      <c r="G954">
        <v>0</v>
      </c>
      <c r="H954">
        <v>0</v>
      </c>
      <c r="I954">
        <v>0</v>
      </c>
      <c r="J954">
        <v>0</v>
      </c>
      <c r="K954">
        <v>0</v>
      </c>
      <c r="L954">
        <v>10</v>
      </c>
      <c r="M954">
        <v>10</v>
      </c>
      <c r="P954" s="3"/>
    </row>
    <row r="955" spans="1:16" x14ac:dyDescent="0.3">
      <c r="A955" t="s">
        <v>131</v>
      </c>
      <c r="B955" t="s">
        <v>944</v>
      </c>
      <c r="C955">
        <v>0</v>
      </c>
      <c r="D955">
        <v>0</v>
      </c>
      <c r="E955">
        <v>0</v>
      </c>
      <c r="F955">
        <v>0</v>
      </c>
      <c r="G955">
        <v>0</v>
      </c>
      <c r="H955">
        <v>0</v>
      </c>
      <c r="I955">
        <v>0</v>
      </c>
      <c r="J955">
        <v>0</v>
      </c>
      <c r="K955">
        <v>0</v>
      </c>
      <c r="L955">
        <v>12</v>
      </c>
      <c r="M955">
        <v>12</v>
      </c>
      <c r="P955" s="4"/>
    </row>
    <row r="956" spans="1:16" x14ac:dyDescent="0.3">
      <c r="A956" t="s">
        <v>131</v>
      </c>
      <c r="B956" t="s">
        <v>945</v>
      </c>
      <c r="C956">
        <v>0</v>
      </c>
      <c r="D956">
        <v>0</v>
      </c>
      <c r="E956">
        <v>77</v>
      </c>
      <c r="F956">
        <v>90</v>
      </c>
      <c r="G956">
        <v>140</v>
      </c>
      <c r="H956">
        <v>77</v>
      </c>
      <c r="I956">
        <v>18</v>
      </c>
      <c r="J956">
        <v>37</v>
      </c>
      <c r="K956">
        <v>124</v>
      </c>
      <c r="L956">
        <v>42</v>
      </c>
      <c r="M956">
        <v>605</v>
      </c>
      <c r="P956" s="3"/>
    </row>
    <row r="957" spans="1:16" x14ac:dyDescent="0.3">
      <c r="A957" t="s">
        <v>133</v>
      </c>
      <c r="B957" t="s">
        <v>946</v>
      </c>
      <c r="C957">
        <v>0</v>
      </c>
      <c r="D957">
        <v>0</v>
      </c>
      <c r="E957">
        <v>0</v>
      </c>
      <c r="F957">
        <v>0</v>
      </c>
      <c r="G957">
        <v>1</v>
      </c>
      <c r="H957">
        <v>0</v>
      </c>
      <c r="I957">
        <v>0</v>
      </c>
      <c r="J957">
        <v>0</v>
      </c>
      <c r="K957">
        <v>0</v>
      </c>
      <c r="L957">
        <v>0</v>
      </c>
      <c r="M957">
        <v>1</v>
      </c>
      <c r="P957" s="4"/>
    </row>
    <row r="958" spans="1:16" x14ac:dyDescent="0.3">
      <c r="A958" t="s">
        <v>131</v>
      </c>
      <c r="B958" t="s">
        <v>946</v>
      </c>
      <c r="C958">
        <v>0</v>
      </c>
      <c r="D958">
        <v>0</v>
      </c>
      <c r="E958">
        <v>9</v>
      </c>
      <c r="F958">
        <v>18</v>
      </c>
      <c r="G958">
        <v>11</v>
      </c>
      <c r="H958">
        <v>22</v>
      </c>
      <c r="I958">
        <v>26</v>
      </c>
      <c r="J958">
        <v>101</v>
      </c>
      <c r="K958">
        <v>99</v>
      </c>
      <c r="L958">
        <v>52</v>
      </c>
      <c r="M958">
        <v>338</v>
      </c>
      <c r="P958" s="3"/>
    </row>
    <row r="959" spans="1:16" x14ac:dyDescent="0.3">
      <c r="A959" t="s">
        <v>131</v>
      </c>
      <c r="B959" t="s">
        <v>947</v>
      </c>
      <c r="C959">
        <v>0</v>
      </c>
      <c r="D959">
        <v>0</v>
      </c>
      <c r="E959">
        <v>0</v>
      </c>
      <c r="F959">
        <v>0</v>
      </c>
      <c r="G959">
        <v>0</v>
      </c>
      <c r="H959">
        <v>0</v>
      </c>
      <c r="I959">
        <v>0</v>
      </c>
      <c r="J959">
        <v>0</v>
      </c>
      <c r="K959">
        <v>1</v>
      </c>
      <c r="L959">
        <v>0</v>
      </c>
      <c r="M959">
        <v>1</v>
      </c>
      <c r="P959" s="4"/>
    </row>
    <row r="960" spans="1:16" x14ac:dyDescent="0.3">
      <c r="A960" t="s">
        <v>131</v>
      </c>
      <c r="B960" t="s">
        <v>948</v>
      </c>
      <c r="C960">
        <v>0</v>
      </c>
      <c r="D960">
        <v>0</v>
      </c>
      <c r="E960">
        <v>18</v>
      </c>
      <c r="F960">
        <v>148</v>
      </c>
      <c r="G960">
        <v>135</v>
      </c>
      <c r="H960">
        <v>57</v>
      </c>
      <c r="I960">
        <v>32</v>
      </c>
      <c r="J960">
        <v>30</v>
      </c>
      <c r="K960">
        <v>8</v>
      </c>
      <c r="L960">
        <v>2</v>
      </c>
      <c r="M960">
        <v>430</v>
      </c>
      <c r="P960" s="3"/>
    </row>
    <row r="961" spans="1:16" x14ac:dyDescent="0.3">
      <c r="A961" t="s">
        <v>136</v>
      </c>
      <c r="B961" t="s">
        <v>948</v>
      </c>
      <c r="C961">
        <v>0</v>
      </c>
      <c r="D961">
        <v>0</v>
      </c>
      <c r="E961">
        <v>0</v>
      </c>
      <c r="F961">
        <v>1</v>
      </c>
      <c r="G961">
        <v>0</v>
      </c>
      <c r="H961">
        <v>0</v>
      </c>
      <c r="I961">
        <v>0</v>
      </c>
      <c r="J961">
        <v>0</v>
      </c>
      <c r="K961">
        <v>0</v>
      </c>
      <c r="L961">
        <v>0</v>
      </c>
      <c r="M961">
        <v>1</v>
      </c>
      <c r="P961" s="4"/>
    </row>
    <row r="962" spans="1:16" x14ac:dyDescent="0.3">
      <c r="A962" t="s">
        <v>131</v>
      </c>
      <c r="B962" t="s">
        <v>949</v>
      </c>
      <c r="C962">
        <v>0</v>
      </c>
      <c r="D962">
        <v>0</v>
      </c>
      <c r="E962">
        <v>1</v>
      </c>
      <c r="F962">
        <v>46</v>
      </c>
      <c r="G962">
        <v>28</v>
      </c>
      <c r="H962">
        <v>35</v>
      </c>
      <c r="I962">
        <v>17</v>
      </c>
      <c r="J962">
        <v>0</v>
      </c>
      <c r="K962">
        <v>0</v>
      </c>
      <c r="L962">
        <v>0</v>
      </c>
      <c r="M962">
        <v>127</v>
      </c>
      <c r="P962" s="3"/>
    </row>
    <row r="963" spans="1:16" x14ac:dyDescent="0.3">
      <c r="A963" t="s">
        <v>131</v>
      </c>
      <c r="B963" t="s">
        <v>950</v>
      </c>
      <c r="C963">
        <v>0</v>
      </c>
      <c r="D963">
        <v>0</v>
      </c>
      <c r="E963">
        <v>1</v>
      </c>
      <c r="F963">
        <v>0</v>
      </c>
      <c r="G963">
        <v>0</v>
      </c>
      <c r="H963">
        <v>0</v>
      </c>
      <c r="I963">
        <v>0</v>
      </c>
      <c r="J963">
        <v>0</v>
      </c>
      <c r="K963">
        <v>0</v>
      </c>
      <c r="L963">
        <v>0</v>
      </c>
      <c r="M963">
        <v>1</v>
      </c>
      <c r="P963" s="4"/>
    </row>
    <row r="964" spans="1:16" x14ac:dyDescent="0.3">
      <c r="A964" t="s">
        <v>131</v>
      </c>
      <c r="B964" t="s">
        <v>951</v>
      </c>
      <c r="C964">
        <v>0</v>
      </c>
      <c r="D964">
        <v>0</v>
      </c>
      <c r="E964">
        <v>4</v>
      </c>
      <c r="F964">
        <v>0</v>
      </c>
      <c r="G964">
        <v>0</v>
      </c>
      <c r="H964">
        <v>0</v>
      </c>
      <c r="I964">
        <v>0</v>
      </c>
      <c r="J964">
        <v>0</v>
      </c>
      <c r="K964">
        <v>0</v>
      </c>
      <c r="L964">
        <v>0</v>
      </c>
      <c r="M964">
        <v>4</v>
      </c>
      <c r="P964" s="3"/>
    </row>
    <row r="965" spans="1:16" x14ac:dyDescent="0.3">
      <c r="A965" t="s">
        <v>131</v>
      </c>
      <c r="B965" t="s">
        <v>952</v>
      </c>
      <c r="C965">
        <v>0</v>
      </c>
      <c r="D965">
        <v>0</v>
      </c>
      <c r="E965">
        <v>0</v>
      </c>
      <c r="F965">
        <v>0</v>
      </c>
      <c r="G965">
        <v>0</v>
      </c>
      <c r="H965">
        <v>0</v>
      </c>
      <c r="I965">
        <v>0</v>
      </c>
      <c r="J965">
        <v>0</v>
      </c>
      <c r="K965">
        <v>4</v>
      </c>
      <c r="L965">
        <v>18</v>
      </c>
      <c r="M965">
        <v>22</v>
      </c>
      <c r="P965" s="4"/>
    </row>
    <row r="966" spans="1:16" x14ac:dyDescent="0.3">
      <c r="A966" t="s">
        <v>131</v>
      </c>
      <c r="B966" t="s">
        <v>953</v>
      </c>
      <c r="C966">
        <v>0</v>
      </c>
      <c r="D966">
        <v>0</v>
      </c>
      <c r="E966">
        <v>0</v>
      </c>
      <c r="F966">
        <v>133</v>
      </c>
      <c r="G966">
        <v>238</v>
      </c>
      <c r="H966">
        <v>63</v>
      </c>
      <c r="I966">
        <v>54</v>
      </c>
      <c r="J966">
        <v>71</v>
      </c>
      <c r="K966">
        <v>114</v>
      </c>
      <c r="L966">
        <v>45</v>
      </c>
      <c r="M966">
        <v>718</v>
      </c>
      <c r="P966" s="3"/>
    </row>
    <row r="967" spans="1:16" x14ac:dyDescent="0.3">
      <c r="A967" t="s">
        <v>131</v>
      </c>
      <c r="B967" t="s">
        <v>954</v>
      </c>
      <c r="C967">
        <v>0</v>
      </c>
      <c r="D967">
        <v>0</v>
      </c>
      <c r="E967">
        <v>0</v>
      </c>
      <c r="F967">
        <v>0</v>
      </c>
      <c r="G967">
        <v>0</v>
      </c>
      <c r="H967">
        <v>0</v>
      </c>
      <c r="I967">
        <v>5</v>
      </c>
      <c r="J967">
        <v>35</v>
      </c>
      <c r="K967">
        <v>575</v>
      </c>
      <c r="L967">
        <v>564</v>
      </c>
      <c r="M967">
        <v>1179</v>
      </c>
      <c r="P967" s="4"/>
    </row>
    <row r="968" spans="1:16" x14ac:dyDescent="0.3">
      <c r="A968" t="s">
        <v>131</v>
      </c>
      <c r="B968" t="s">
        <v>955</v>
      </c>
      <c r="C968">
        <v>0</v>
      </c>
      <c r="D968">
        <v>0</v>
      </c>
      <c r="E968">
        <v>6</v>
      </c>
      <c r="F968">
        <v>0</v>
      </c>
      <c r="G968">
        <v>0</v>
      </c>
      <c r="H968">
        <v>0</v>
      </c>
      <c r="I968">
        <v>0</v>
      </c>
      <c r="J968">
        <v>0</v>
      </c>
      <c r="K968">
        <v>0</v>
      </c>
      <c r="L968">
        <v>0</v>
      </c>
      <c r="M968">
        <v>6</v>
      </c>
      <c r="P968" s="3"/>
    </row>
    <row r="969" spans="1:16" x14ac:dyDescent="0.3">
      <c r="A969" t="s">
        <v>131</v>
      </c>
      <c r="B969" t="s">
        <v>956</v>
      </c>
      <c r="C969">
        <v>0</v>
      </c>
      <c r="D969">
        <v>0</v>
      </c>
      <c r="E969">
        <v>13</v>
      </c>
      <c r="F969">
        <v>129</v>
      </c>
      <c r="G969">
        <v>58</v>
      </c>
      <c r="H969">
        <v>10</v>
      </c>
      <c r="I969">
        <v>10</v>
      </c>
      <c r="J969">
        <v>47</v>
      </c>
      <c r="K969">
        <v>152</v>
      </c>
      <c r="L969">
        <v>150</v>
      </c>
      <c r="M969">
        <v>569</v>
      </c>
      <c r="P969" s="4"/>
    </row>
    <row r="970" spans="1:16" x14ac:dyDescent="0.3">
      <c r="A970" t="s">
        <v>131</v>
      </c>
      <c r="B970" t="s">
        <v>957</v>
      </c>
      <c r="C970">
        <v>0</v>
      </c>
      <c r="D970">
        <v>0</v>
      </c>
      <c r="E970">
        <v>12</v>
      </c>
      <c r="F970">
        <v>2</v>
      </c>
      <c r="G970">
        <v>0</v>
      </c>
      <c r="H970">
        <v>0</v>
      </c>
      <c r="I970">
        <v>0</v>
      </c>
      <c r="J970">
        <v>0</v>
      </c>
      <c r="K970">
        <v>0</v>
      </c>
      <c r="L970">
        <v>0</v>
      </c>
      <c r="M970">
        <v>14</v>
      </c>
      <c r="P970" s="3"/>
    </row>
    <row r="971" spans="1:16" x14ac:dyDescent="0.3">
      <c r="A971" t="s">
        <v>131</v>
      </c>
      <c r="B971" t="s">
        <v>958</v>
      </c>
      <c r="C971">
        <v>0</v>
      </c>
      <c r="D971">
        <v>0</v>
      </c>
      <c r="E971">
        <v>60</v>
      </c>
      <c r="F971">
        <v>22</v>
      </c>
      <c r="G971">
        <v>19</v>
      </c>
      <c r="H971">
        <v>2</v>
      </c>
      <c r="I971">
        <v>1</v>
      </c>
      <c r="J971">
        <v>10</v>
      </c>
      <c r="K971">
        <v>2</v>
      </c>
      <c r="L971">
        <v>4</v>
      </c>
      <c r="M971">
        <v>120</v>
      </c>
      <c r="P971" s="4"/>
    </row>
    <row r="972" spans="1:16" x14ac:dyDescent="0.3">
      <c r="A972" t="s">
        <v>136</v>
      </c>
      <c r="B972" t="s">
        <v>959</v>
      </c>
      <c r="C972">
        <v>2</v>
      </c>
      <c r="D972">
        <v>1</v>
      </c>
      <c r="E972">
        <v>0</v>
      </c>
      <c r="F972">
        <v>0</v>
      </c>
      <c r="G972">
        <v>0</v>
      </c>
      <c r="H972">
        <v>0</v>
      </c>
      <c r="I972">
        <v>0</v>
      </c>
      <c r="J972">
        <v>0</v>
      </c>
      <c r="K972">
        <v>0</v>
      </c>
      <c r="L972">
        <v>0</v>
      </c>
      <c r="M972">
        <v>3</v>
      </c>
      <c r="P972" s="3"/>
    </row>
    <row r="973" spans="1:16" x14ac:dyDescent="0.3">
      <c r="A973" t="s">
        <v>131</v>
      </c>
      <c r="B973" t="s">
        <v>960</v>
      </c>
      <c r="C973">
        <v>0</v>
      </c>
      <c r="D973">
        <v>0</v>
      </c>
      <c r="E973">
        <v>0</v>
      </c>
      <c r="F973">
        <v>0</v>
      </c>
      <c r="G973">
        <v>0</v>
      </c>
      <c r="H973">
        <v>0</v>
      </c>
      <c r="I973">
        <v>0</v>
      </c>
      <c r="J973">
        <v>0</v>
      </c>
      <c r="K973">
        <v>20</v>
      </c>
      <c r="L973">
        <v>452</v>
      </c>
      <c r="M973">
        <v>472</v>
      </c>
      <c r="P973" s="4"/>
    </row>
    <row r="974" spans="1:16" x14ac:dyDescent="0.3">
      <c r="A974" t="s">
        <v>131</v>
      </c>
      <c r="B974" t="s">
        <v>961</v>
      </c>
      <c r="C974">
        <v>0</v>
      </c>
      <c r="D974">
        <v>0</v>
      </c>
      <c r="E974">
        <v>67</v>
      </c>
      <c r="F974">
        <v>135</v>
      </c>
      <c r="G974">
        <v>50</v>
      </c>
      <c r="H974">
        <v>4</v>
      </c>
      <c r="I974">
        <v>27</v>
      </c>
      <c r="J974">
        <v>333</v>
      </c>
      <c r="K974">
        <v>1176</v>
      </c>
      <c r="L974">
        <v>990</v>
      </c>
      <c r="M974">
        <v>2782</v>
      </c>
      <c r="P974" s="3"/>
    </row>
    <row r="975" spans="1:16" x14ac:dyDescent="0.3">
      <c r="A975" t="s">
        <v>131</v>
      </c>
      <c r="B975" t="s">
        <v>962</v>
      </c>
      <c r="C975">
        <v>0</v>
      </c>
      <c r="D975">
        <v>0</v>
      </c>
      <c r="E975">
        <v>0</v>
      </c>
      <c r="F975">
        <v>0</v>
      </c>
      <c r="G975">
        <v>0</v>
      </c>
      <c r="H975">
        <v>1</v>
      </c>
      <c r="I975">
        <v>54</v>
      </c>
      <c r="J975">
        <v>281</v>
      </c>
      <c r="K975">
        <v>609</v>
      </c>
      <c r="L975">
        <v>530</v>
      </c>
      <c r="M975">
        <v>1475</v>
      </c>
      <c r="P975" s="4"/>
    </row>
    <row r="976" spans="1:16" x14ac:dyDescent="0.3">
      <c r="A976" t="s">
        <v>131</v>
      </c>
      <c r="B976" t="s">
        <v>963</v>
      </c>
      <c r="C976">
        <v>0</v>
      </c>
      <c r="D976">
        <v>0</v>
      </c>
      <c r="E976">
        <v>0</v>
      </c>
      <c r="F976">
        <v>0</v>
      </c>
      <c r="G976">
        <v>0</v>
      </c>
      <c r="H976">
        <v>3</v>
      </c>
      <c r="I976">
        <v>3</v>
      </c>
      <c r="J976">
        <v>9</v>
      </c>
      <c r="K976">
        <v>1</v>
      </c>
      <c r="L976">
        <v>0</v>
      </c>
      <c r="M976">
        <v>16</v>
      </c>
      <c r="P976" s="3"/>
    </row>
    <row r="977" spans="1:16" x14ac:dyDescent="0.3">
      <c r="A977" t="s">
        <v>131</v>
      </c>
      <c r="B977" t="s">
        <v>964</v>
      </c>
      <c r="C977">
        <v>0</v>
      </c>
      <c r="D977">
        <v>0</v>
      </c>
      <c r="E977">
        <v>0</v>
      </c>
      <c r="F977">
        <v>0</v>
      </c>
      <c r="G977">
        <v>0</v>
      </c>
      <c r="H977">
        <v>0</v>
      </c>
      <c r="I977">
        <v>0</v>
      </c>
      <c r="J977">
        <v>0</v>
      </c>
      <c r="K977">
        <v>0</v>
      </c>
      <c r="L977">
        <v>110</v>
      </c>
      <c r="M977">
        <v>110</v>
      </c>
      <c r="P977" s="4"/>
    </row>
    <row r="978" spans="1:16" x14ac:dyDescent="0.3">
      <c r="A978" t="s">
        <v>131</v>
      </c>
      <c r="B978" t="s">
        <v>965</v>
      </c>
      <c r="C978">
        <v>0</v>
      </c>
      <c r="D978">
        <v>0</v>
      </c>
      <c r="E978">
        <v>0</v>
      </c>
      <c r="F978">
        <v>0</v>
      </c>
      <c r="G978">
        <v>0</v>
      </c>
      <c r="H978">
        <v>0</v>
      </c>
      <c r="I978">
        <v>0</v>
      </c>
      <c r="J978">
        <v>0</v>
      </c>
      <c r="K978">
        <v>0</v>
      </c>
      <c r="L978">
        <v>4</v>
      </c>
      <c r="M978">
        <v>4</v>
      </c>
      <c r="P978" s="3"/>
    </row>
    <row r="979" spans="1:16" x14ac:dyDescent="0.3">
      <c r="A979" t="s">
        <v>131</v>
      </c>
      <c r="B979" t="s">
        <v>966</v>
      </c>
      <c r="C979">
        <v>0</v>
      </c>
      <c r="D979">
        <v>0</v>
      </c>
      <c r="E979">
        <v>0</v>
      </c>
      <c r="F979">
        <v>19</v>
      </c>
      <c r="G979">
        <v>40</v>
      </c>
      <c r="H979">
        <v>5</v>
      </c>
      <c r="I979">
        <v>3397</v>
      </c>
      <c r="J979">
        <v>188</v>
      </c>
      <c r="K979">
        <v>1080</v>
      </c>
      <c r="L979">
        <v>759</v>
      </c>
      <c r="M979">
        <v>5488</v>
      </c>
      <c r="P979" s="4"/>
    </row>
    <row r="980" spans="1:16" x14ac:dyDescent="0.3">
      <c r="A980" t="s">
        <v>136</v>
      </c>
      <c r="B980" t="s">
        <v>966</v>
      </c>
      <c r="C980">
        <v>0</v>
      </c>
      <c r="D980">
        <v>0</v>
      </c>
      <c r="E980">
        <v>0</v>
      </c>
      <c r="F980">
        <v>0</v>
      </c>
      <c r="G980">
        <v>2</v>
      </c>
      <c r="H980">
        <v>0</v>
      </c>
      <c r="I980">
        <v>0</v>
      </c>
      <c r="J980">
        <v>1</v>
      </c>
      <c r="K980">
        <v>3</v>
      </c>
      <c r="L980">
        <v>0</v>
      </c>
      <c r="M980">
        <v>6</v>
      </c>
      <c r="P980" s="3"/>
    </row>
    <row r="981" spans="1:16" x14ac:dyDescent="0.3">
      <c r="A981" t="s">
        <v>131</v>
      </c>
      <c r="B981" t="s">
        <v>967</v>
      </c>
      <c r="C981">
        <v>0</v>
      </c>
      <c r="D981">
        <v>3</v>
      </c>
      <c r="E981">
        <v>22</v>
      </c>
      <c r="F981">
        <v>7</v>
      </c>
      <c r="G981">
        <v>0</v>
      </c>
      <c r="H981">
        <v>2</v>
      </c>
      <c r="I981">
        <v>0</v>
      </c>
      <c r="J981">
        <v>0</v>
      </c>
      <c r="K981">
        <v>0</v>
      </c>
      <c r="L981">
        <v>0</v>
      </c>
      <c r="M981">
        <v>34</v>
      </c>
      <c r="P981" s="4"/>
    </row>
    <row r="982" spans="1:16" x14ac:dyDescent="0.3">
      <c r="A982" t="s">
        <v>131</v>
      </c>
      <c r="B982" t="s">
        <v>968</v>
      </c>
      <c r="C982">
        <v>0</v>
      </c>
      <c r="D982">
        <v>0</v>
      </c>
      <c r="E982">
        <v>40</v>
      </c>
      <c r="F982">
        <v>197</v>
      </c>
      <c r="G982">
        <v>112</v>
      </c>
      <c r="H982">
        <v>53</v>
      </c>
      <c r="I982">
        <v>41</v>
      </c>
      <c r="J982">
        <v>63</v>
      </c>
      <c r="K982">
        <v>96</v>
      </c>
      <c r="L982">
        <v>42</v>
      </c>
      <c r="M982">
        <v>644</v>
      </c>
      <c r="P982" s="3"/>
    </row>
    <row r="983" spans="1:16" x14ac:dyDescent="0.3">
      <c r="A983" t="s">
        <v>133</v>
      </c>
      <c r="B983" t="s">
        <v>969</v>
      </c>
      <c r="C983">
        <v>0</v>
      </c>
      <c r="D983">
        <v>0</v>
      </c>
      <c r="E983">
        <v>0</v>
      </c>
      <c r="F983">
        <v>0</v>
      </c>
      <c r="G983">
        <v>0</v>
      </c>
      <c r="H983">
        <v>0</v>
      </c>
      <c r="I983">
        <v>0</v>
      </c>
      <c r="J983">
        <v>0</v>
      </c>
      <c r="K983">
        <v>0</v>
      </c>
      <c r="L983">
        <v>6</v>
      </c>
      <c r="M983">
        <v>6</v>
      </c>
      <c r="P983" s="4"/>
    </row>
    <row r="984" spans="1:16" x14ac:dyDescent="0.3">
      <c r="A984" t="s">
        <v>133</v>
      </c>
      <c r="B984" t="s">
        <v>970</v>
      </c>
      <c r="C984">
        <v>0</v>
      </c>
      <c r="D984">
        <v>0</v>
      </c>
      <c r="E984">
        <v>1</v>
      </c>
      <c r="F984">
        <v>0</v>
      </c>
      <c r="G984">
        <v>0</v>
      </c>
      <c r="H984">
        <v>0</v>
      </c>
      <c r="I984">
        <v>0</v>
      </c>
      <c r="J984">
        <v>0</v>
      </c>
      <c r="K984">
        <v>0</v>
      </c>
      <c r="L984">
        <v>0</v>
      </c>
      <c r="M984">
        <v>1</v>
      </c>
      <c r="P984" s="3"/>
    </row>
    <row r="985" spans="1:16" x14ac:dyDescent="0.3">
      <c r="A985" t="s">
        <v>131</v>
      </c>
      <c r="B985" t="s">
        <v>970</v>
      </c>
      <c r="C985">
        <v>0</v>
      </c>
      <c r="D985">
        <v>0</v>
      </c>
      <c r="E985">
        <v>14</v>
      </c>
      <c r="F985">
        <v>0</v>
      </c>
      <c r="G985">
        <v>0</v>
      </c>
      <c r="H985">
        <v>0</v>
      </c>
      <c r="I985">
        <v>0</v>
      </c>
      <c r="J985">
        <v>0</v>
      </c>
      <c r="K985">
        <v>0</v>
      </c>
      <c r="L985">
        <v>0</v>
      </c>
      <c r="M985">
        <v>14</v>
      </c>
      <c r="P985" s="4"/>
    </row>
    <row r="986" spans="1:16" x14ac:dyDescent="0.3">
      <c r="A986" t="s">
        <v>136</v>
      </c>
      <c r="B986" t="s">
        <v>970</v>
      </c>
      <c r="C986">
        <v>2</v>
      </c>
      <c r="D986">
        <v>1</v>
      </c>
      <c r="E986">
        <v>0</v>
      </c>
      <c r="F986">
        <v>0</v>
      </c>
      <c r="G986">
        <v>0</v>
      </c>
      <c r="H986">
        <v>0</v>
      </c>
      <c r="I986">
        <v>0</v>
      </c>
      <c r="J986">
        <v>0</v>
      </c>
      <c r="K986">
        <v>2</v>
      </c>
      <c r="L986">
        <v>0</v>
      </c>
      <c r="M986">
        <v>5</v>
      </c>
      <c r="P986" s="3"/>
    </row>
    <row r="987" spans="1:16" x14ac:dyDescent="0.3">
      <c r="A987" t="s">
        <v>131</v>
      </c>
      <c r="B987" t="s">
        <v>971</v>
      </c>
      <c r="C987">
        <v>0</v>
      </c>
      <c r="D987">
        <v>0</v>
      </c>
      <c r="E987">
        <v>7</v>
      </c>
      <c r="F987">
        <v>84</v>
      </c>
      <c r="G987">
        <v>54</v>
      </c>
      <c r="H987">
        <v>44</v>
      </c>
      <c r="I987">
        <v>105</v>
      </c>
      <c r="J987">
        <v>119</v>
      </c>
      <c r="K987">
        <v>237</v>
      </c>
      <c r="L987">
        <v>143</v>
      </c>
      <c r="M987">
        <v>793</v>
      </c>
      <c r="P987" s="4"/>
    </row>
    <row r="988" spans="1:16" x14ac:dyDescent="0.3">
      <c r="A988" t="s">
        <v>136</v>
      </c>
      <c r="B988" t="s">
        <v>971</v>
      </c>
      <c r="C988">
        <v>0</v>
      </c>
      <c r="D988">
        <v>0</v>
      </c>
      <c r="E988">
        <v>0</v>
      </c>
      <c r="F988">
        <v>0</v>
      </c>
      <c r="G988">
        <v>0</v>
      </c>
      <c r="H988">
        <v>0</v>
      </c>
      <c r="I988">
        <v>1</v>
      </c>
      <c r="J988">
        <v>0</v>
      </c>
      <c r="K988">
        <v>0</v>
      </c>
      <c r="L988">
        <v>0</v>
      </c>
      <c r="M988">
        <v>1</v>
      </c>
      <c r="P988" s="3"/>
    </row>
    <row r="989" spans="1:16" x14ac:dyDescent="0.3">
      <c r="A989" t="s">
        <v>131</v>
      </c>
      <c r="B989" t="s">
        <v>972</v>
      </c>
      <c r="C989">
        <v>0</v>
      </c>
      <c r="D989">
        <v>0</v>
      </c>
      <c r="E989">
        <v>1</v>
      </c>
      <c r="F989">
        <v>1</v>
      </c>
      <c r="G989">
        <v>0</v>
      </c>
      <c r="H989">
        <v>0</v>
      </c>
      <c r="I989">
        <v>0</v>
      </c>
      <c r="J989">
        <v>0</v>
      </c>
      <c r="K989">
        <v>0</v>
      </c>
      <c r="L989">
        <v>0</v>
      </c>
      <c r="M989">
        <v>2</v>
      </c>
      <c r="P989" s="4"/>
    </row>
    <row r="990" spans="1:16" x14ac:dyDescent="0.3">
      <c r="A990" t="s">
        <v>136</v>
      </c>
      <c r="B990" t="s">
        <v>973</v>
      </c>
      <c r="C990">
        <v>5</v>
      </c>
      <c r="D990">
        <v>1</v>
      </c>
      <c r="E990">
        <v>26</v>
      </c>
      <c r="F990">
        <v>19</v>
      </c>
      <c r="G990">
        <v>0</v>
      </c>
      <c r="H990">
        <v>0</v>
      </c>
      <c r="I990">
        <v>0</v>
      </c>
      <c r="J990">
        <v>0</v>
      </c>
      <c r="K990">
        <v>0</v>
      </c>
      <c r="L990">
        <v>0</v>
      </c>
      <c r="M990">
        <v>51</v>
      </c>
      <c r="P990" s="3"/>
    </row>
    <row r="991" spans="1:16" x14ac:dyDescent="0.3">
      <c r="A991" t="s">
        <v>133</v>
      </c>
      <c r="B991" t="s">
        <v>974</v>
      </c>
      <c r="C991">
        <v>0</v>
      </c>
      <c r="D991">
        <v>0</v>
      </c>
      <c r="E991">
        <v>0</v>
      </c>
      <c r="F991">
        <v>0</v>
      </c>
      <c r="G991">
        <v>480</v>
      </c>
      <c r="H991">
        <v>2098</v>
      </c>
      <c r="I991">
        <v>4704</v>
      </c>
      <c r="J991">
        <v>14910</v>
      </c>
      <c r="K991">
        <v>6976</v>
      </c>
      <c r="L991">
        <v>4650</v>
      </c>
      <c r="M991">
        <v>33818</v>
      </c>
      <c r="P991" s="4"/>
    </row>
    <row r="992" spans="1:16" x14ac:dyDescent="0.3">
      <c r="A992" t="s">
        <v>133</v>
      </c>
      <c r="B992" t="s">
        <v>975</v>
      </c>
      <c r="C992">
        <v>0</v>
      </c>
      <c r="D992">
        <v>0</v>
      </c>
      <c r="E992">
        <v>0</v>
      </c>
      <c r="F992">
        <v>0</v>
      </c>
      <c r="G992">
        <v>0</v>
      </c>
      <c r="H992">
        <v>0</v>
      </c>
      <c r="I992">
        <v>408</v>
      </c>
      <c r="J992">
        <v>1564</v>
      </c>
      <c r="K992">
        <v>822</v>
      </c>
      <c r="L992">
        <v>176</v>
      </c>
      <c r="M992">
        <v>2970</v>
      </c>
      <c r="P992" s="3"/>
    </row>
    <row r="993" spans="1:16" x14ac:dyDescent="0.3">
      <c r="A993" t="s">
        <v>131</v>
      </c>
      <c r="B993" t="s">
        <v>976</v>
      </c>
      <c r="C993">
        <v>0</v>
      </c>
      <c r="D993">
        <v>0</v>
      </c>
      <c r="E993">
        <v>0</v>
      </c>
      <c r="F993">
        <v>0</v>
      </c>
      <c r="G993">
        <v>0</v>
      </c>
      <c r="H993">
        <v>0</v>
      </c>
      <c r="I993">
        <v>18</v>
      </c>
      <c r="J993">
        <v>200</v>
      </c>
      <c r="K993">
        <v>496</v>
      </c>
      <c r="L993">
        <v>223</v>
      </c>
      <c r="M993">
        <v>937</v>
      </c>
      <c r="P993" s="4"/>
    </row>
    <row r="994" spans="1:16" x14ac:dyDescent="0.3">
      <c r="A994" t="s">
        <v>131</v>
      </c>
      <c r="B994" t="s">
        <v>977</v>
      </c>
      <c r="C994">
        <v>0</v>
      </c>
      <c r="D994">
        <v>0</v>
      </c>
      <c r="E994">
        <v>0</v>
      </c>
      <c r="F994">
        <v>0</v>
      </c>
      <c r="G994">
        <v>0</v>
      </c>
      <c r="H994">
        <v>0</v>
      </c>
      <c r="I994">
        <v>0</v>
      </c>
      <c r="J994">
        <v>0</v>
      </c>
      <c r="K994">
        <v>0</v>
      </c>
      <c r="L994">
        <v>162</v>
      </c>
      <c r="M994">
        <v>162</v>
      </c>
      <c r="P994" s="3"/>
    </row>
    <row r="995" spans="1:16" x14ac:dyDescent="0.3">
      <c r="A995" t="s">
        <v>133</v>
      </c>
      <c r="B995" t="s">
        <v>978</v>
      </c>
      <c r="C995">
        <v>0</v>
      </c>
      <c r="D995">
        <v>0</v>
      </c>
      <c r="E995">
        <v>0</v>
      </c>
      <c r="F995">
        <v>0</v>
      </c>
      <c r="G995">
        <v>0</v>
      </c>
      <c r="H995">
        <v>0</v>
      </c>
      <c r="I995">
        <v>0</v>
      </c>
      <c r="J995">
        <v>0</v>
      </c>
      <c r="K995">
        <v>92</v>
      </c>
      <c r="L995">
        <v>1134</v>
      </c>
      <c r="M995">
        <v>1226</v>
      </c>
      <c r="P995" s="4"/>
    </row>
    <row r="996" spans="1:16" x14ac:dyDescent="0.3">
      <c r="A996" t="s">
        <v>131</v>
      </c>
      <c r="B996" t="s">
        <v>979</v>
      </c>
      <c r="C996">
        <v>0</v>
      </c>
      <c r="D996">
        <v>0</v>
      </c>
      <c r="E996">
        <v>0</v>
      </c>
      <c r="F996">
        <v>1</v>
      </c>
      <c r="G996">
        <v>10</v>
      </c>
      <c r="H996">
        <v>5</v>
      </c>
      <c r="I996">
        <v>2</v>
      </c>
      <c r="J996">
        <v>31</v>
      </c>
      <c r="K996">
        <v>31</v>
      </c>
      <c r="L996">
        <v>5</v>
      </c>
      <c r="M996">
        <v>85</v>
      </c>
      <c r="P996" s="3"/>
    </row>
    <row r="997" spans="1:16" x14ac:dyDescent="0.3">
      <c r="A997" t="s">
        <v>131</v>
      </c>
      <c r="B997" t="s">
        <v>980</v>
      </c>
      <c r="C997">
        <v>0</v>
      </c>
      <c r="D997">
        <v>0</v>
      </c>
      <c r="E997">
        <v>0</v>
      </c>
      <c r="F997">
        <v>0</v>
      </c>
      <c r="G997">
        <v>0</v>
      </c>
      <c r="H997">
        <v>0</v>
      </c>
      <c r="I997">
        <v>0</v>
      </c>
      <c r="J997">
        <v>0</v>
      </c>
      <c r="K997">
        <v>4</v>
      </c>
      <c r="L997">
        <v>65</v>
      </c>
      <c r="M997">
        <v>69</v>
      </c>
      <c r="P997" s="4"/>
    </row>
    <row r="998" spans="1:16" x14ac:dyDescent="0.3">
      <c r="A998" t="s">
        <v>131</v>
      </c>
      <c r="B998" t="s">
        <v>981</v>
      </c>
      <c r="C998">
        <v>0</v>
      </c>
      <c r="D998">
        <v>0</v>
      </c>
      <c r="E998">
        <v>0</v>
      </c>
      <c r="F998">
        <v>59</v>
      </c>
      <c r="G998">
        <v>88</v>
      </c>
      <c r="H998">
        <v>52</v>
      </c>
      <c r="I998">
        <v>43</v>
      </c>
      <c r="J998">
        <v>136</v>
      </c>
      <c r="K998">
        <v>338</v>
      </c>
      <c r="L998">
        <v>180</v>
      </c>
      <c r="M998">
        <v>896</v>
      </c>
      <c r="P998" s="3"/>
    </row>
    <row r="999" spans="1:16" x14ac:dyDescent="0.3">
      <c r="A999" t="s">
        <v>136</v>
      </c>
      <c r="B999" t="s">
        <v>982</v>
      </c>
      <c r="C999">
        <v>0</v>
      </c>
      <c r="D999">
        <v>0</v>
      </c>
      <c r="E999">
        <v>0</v>
      </c>
      <c r="F999">
        <v>0</v>
      </c>
      <c r="G999">
        <v>0</v>
      </c>
      <c r="H999">
        <v>0</v>
      </c>
      <c r="I999">
        <v>0</v>
      </c>
      <c r="J999">
        <v>0</v>
      </c>
      <c r="K999">
        <v>0</v>
      </c>
      <c r="L999">
        <v>1</v>
      </c>
      <c r="M999">
        <v>1</v>
      </c>
      <c r="P999" s="4"/>
    </row>
    <row r="1000" spans="1:16" x14ac:dyDescent="0.3">
      <c r="A1000" t="s">
        <v>136</v>
      </c>
      <c r="B1000" t="s">
        <v>983</v>
      </c>
      <c r="C1000">
        <v>0</v>
      </c>
      <c r="D1000">
        <v>0</v>
      </c>
      <c r="E1000">
        <v>0</v>
      </c>
      <c r="F1000">
        <v>0</v>
      </c>
      <c r="G1000">
        <v>0</v>
      </c>
      <c r="H1000">
        <v>0</v>
      </c>
      <c r="I1000">
        <v>0</v>
      </c>
      <c r="J1000">
        <v>0</v>
      </c>
      <c r="K1000">
        <v>1</v>
      </c>
      <c r="L1000">
        <v>3</v>
      </c>
      <c r="M1000">
        <v>4</v>
      </c>
      <c r="P1000" s="3"/>
    </row>
    <row r="1001" spans="1:16" x14ac:dyDescent="0.3">
      <c r="A1001" t="s">
        <v>136</v>
      </c>
      <c r="B1001" t="s">
        <v>984</v>
      </c>
      <c r="C1001">
        <v>0</v>
      </c>
      <c r="D1001">
        <v>0</v>
      </c>
      <c r="E1001">
        <v>0</v>
      </c>
      <c r="F1001">
        <v>0</v>
      </c>
      <c r="G1001">
        <v>0</v>
      </c>
      <c r="H1001">
        <v>0</v>
      </c>
      <c r="I1001">
        <v>0</v>
      </c>
      <c r="J1001">
        <v>0</v>
      </c>
      <c r="K1001">
        <v>0</v>
      </c>
      <c r="L1001">
        <v>2</v>
      </c>
      <c r="M1001">
        <v>2</v>
      </c>
      <c r="P1001" s="4"/>
    </row>
    <row r="1002" spans="1:16" x14ac:dyDescent="0.3">
      <c r="A1002" t="s">
        <v>133</v>
      </c>
      <c r="B1002" t="s">
        <v>985</v>
      </c>
      <c r="C1002">
        <v>0</v>
      </c>
      <c r="D1002">
        <v>0</v>
      </c>
      <c r="E1002">
        <v>0</v>
      </c>
      <c r="F1002">
        <v>0</v>
      </c>
      <c r="G1002">
        <v>0</v>
      </c>
      <c r="H1002">
        <v>1</v>
      </c>
      <c r="I1002">
        <v>60</v>
      </c>
      <c r="J1002">
        <v>143</v>
      </c>
      <c r="K1002">
        <v>68</v>
      </c>
      <c r="L1002">
        <v>260</v>
      </c>
      <c r="M1002">
        <v>532</v>
      </c>
      <c r="P1002" s="3"/>
    </row>
    <row r="1003" spans="1:16" x14ac:dyDescent="0.3">
      <c r="A1003" t="s">
        <v>133</v>
      </c>
      <c r="B1003" t="s">
        <v>986</v>
      </c>
      <c r="C1003">
        <v>56</v>
      </c>
      <c r="D1003">
        <v>34</v>
      </c>
      <c r="E1003">
        <v>4</v>
      </c>
      <c r="F1003">
        <v>1</v>
      </c>
      <c r="G1003">
        <v>1</v>
      </c>
      <c r="H1003">
        <v>0</v>
      </c>
      <c r="I1003">
        <v>0</v>
      </c>
      <c r="J1003">
        <v>0</v>
      </c>
      <c r="K1003">
        <v>0</v>
      </c>
      <c r="L1003">
        <v>0</v>
      </c>
      <c r="M1003">
        <v>96</v>
      </c>
      <c r="P1003" s="4"/>
    </row>
    <row r="1004" spans="1:16" x14ac:dyDescent="0.3">
      <c r="A1004" t="s">
        <v>131</v>
      </c>
      <c r="B1004" t="s">
        <v>986</v>
      </c>
      <c r="C1004">
        <v>0</v>
      </c>
      <c r="D1004">
        <v>0</v>
      </c>
      <c r="E1004">
        <v>1</v>
      </c>
      <c r="F1004">
        <v>0</v>
      </c>
      <c r="G1004">
        <v>0</v>
      </c>
      <c r="H1004">
        <v>0</v>
      </c>
      <c r="I1004">
        <v>0</v>
      </c>
      <c r="J1004">
        <v>0</v>
      </c>
      <c r="K1004">
        <v>0</v>
      </c>
      <c r="L1004">
        <v>0</v>
      </c>
      <c r="M1004">
        <v>1</v>
      </c>
      <c r="P1004" s="3"/>
    </row>
    <row r="1005" spans="1:16" x14ac:dyDescent="0.3">
      <c r="A1005" t="s">
        <v>136</v>
      </c>
      <c r="B1005" t="s">
        <v>986</v>
      </c>
      <c r="C1005">
        <v>1</v>
      </c>
      <c r="D1005">
        <v>0</v>
      </c>
      <c r="E1005">
        <v>0</v>
      </c>
      <c r="F1005">
        <v>0</v>
      </c>
      <c r="G1005">
        <v>0</v>
      </c>
      <c r="H1005">
        <v>0</v>
      </c>
      <c r="I1005">
        <v>0</v>
      </c>
      <c r="J1005">
        <v>0</v>
      </c>
      <c r="K1005">
        <v>0</v>
      </c>
      <c r="L1005">
        <v>0</v>
      </c>
      <c r="M1005">
        <v>1</v>
      </c>
      <c r="P1005" s="4"/>
    </row>
    <row r="1006" spans="1:16" x14ac:dyDescent="0.3">
      <c r="A1006" t="s">
        <v>131</v>
      </c>
      <c r="B1006" t="s">
        <v>987</v>
      </c>
      <c r="C1006">
        <v>0</v>
      </c>
      <c r="D1006">
        <v>0</v>
      </c>
      <c r="E1006">
        <v>0</v>
      </c>
      <c r="F1006">
        <v>0</v>
      </c>
      <c r="G1006">
        <v>0</v>
      </c>
      <c r="H1006">
        <v>0</v>
      </c>
      <c r="I1006">
        <v>0</v>
      </c>
      <c r="J1006">
        <v>0</v>
      </c>
      <c r="K1006">
        <v>0</v>
      </c>
      <c r="L1006">
        <v>246</v>
      </c>
      <c r="M1006">
        <v>246</v>
      </c>
      <c r="P1006" s="3"/>
    </row>
    <row r="1007" spans="1:16" x14ac:dyDescent="0.3">
      <c r="A1007" t="s">
        <v>131</v>
      </c>
      <c r="B1007" t="s">
        <v>988</v>
      </c>
      <c r="C1007">
        <v>0</v>
      </c>
      <c r="D1007">
        <v>0</v>
      </c>
      <c r="E1007">
        <v>0</v>
      </c>
      <c r="F1007">
        <v>0</v>
      </c>
      <c r="G1007">
        <v>0</v>
      </c>
      <c r="H1007">
        <v>0</v>
      </c>
      <c r="I1007">
        <v>0</v>
      </c>
      <c r="J1007">
        <v>0</v>
      </c>
      <c r="K1007">
        <v>32</v>
      </c>
      <c r="L1007">
        <v>107</v>
      </c>
      <c r="M1007">
        <v>139</v>
      </c>
      <c r="P1007" s="4"/>
    </row>
    <row r="1008" spans="1:16" x14ac:dyDescent="0.3">
      <c r="A1008" t="s">
        <v>131</v>
      </c>
      <c r="B1008" t="s">
        <v>989</v>
      </c>
      <c r="C1008">
        <v>38</v>
      </c>
      <c r="D1008">
        <v>101</v>
      </c>
      <c r="E1008">
        <v>309</v>
      </c>
      <c r="F1008">
        <v>270</v>
      </c>
      <c r="G1008">
        <v>377</v>
      </c>
      <c r="H1008">
        <v>87</v>
      </c>
      <c r="I1008">
        <v>11</v>
      </c>
      <c r="J1008">
        <v>1</v>
      </c>
      <c r="K1008">
        <v>1</v>
      </c>
      <c r="L1008">
        <v>0</v>
      </c>
      <c r="M1008">
        <v>1195</v>
      </c>
      <c r="P1008" s="3"/>
    </row>
    <row r="1009" spans="1:16" x14ac:dyDescent="0.3">
      <c r="A1009" t="s">
        <v>131</v>
      </c>
      <c r="B1009" t="s">
        <v>990</v>
      </c>
      <c r="C1009">
        <v>0</v>
      </c>
      <c r="D1009">
        <v>0</v>
      </c>
      <c r="E1009">
        <v>1</v>
      </c>
      <c r="F1009">
        <v>0</v>
      </c>
      <c r="G1009">
        <v>0</v>
      </c>
      <c r="H1009">
        <v>0</v>
      </c>
      <c r="I1009">
        <v>0</v>
      </c>
      <c r="J1009">
        <v>0</v>
      </c>
      <c r="K1009">
        <v>0</v>
      </c>
      <c r="L1009">
        <v>0</v>
      </c>
      <c r="M1009">
        <v>1</v>
      </c>
      <c r="P1009" s="4"/>
    </row>
    <row r="1010" spans="1:16" x14ac:dyDescent="0.3">
      <c r="A1010" t="s">
        <v>131</v>
      </c>
      <c r="B1010" t="s">
        <v>991</v>
      </c>
      <c r="C1010">
        <v>0</v>
      </c>
      <c r="D1010">
        <v>0</v>
      </c>
      <c r="E1010">
        <v>10</v>
      </c>
      <c r="F1010">
        <v>328</v>
      </c>
      <c r="G1010">
        <v>492</v>
      </c>
      <c r="H1010">
        <v>275</v>
      </c>
      <c r="I1010">
        <v>415</v>
      </c>
      <c r="J1010">
        <v>518</v>
      </c>
      <c r="K1010">
        <v>629</v>
      </c>
      <c r="L1010">
        <v>405</v>
      </c>
      <c r="M1010">
        <v>3072</v>
      </c>
      <c r="P1010" s="3"/>
    </row>
    <row r="1011" spans="1:16" x14ac:dyDescent="0.3">
      <c r="A1011" t="s">
        <v>131</v>
      </c>
      <c r="B1011" t="s">
        <v>992</v>
      </c>
      <c r="C1011">
        <v>0</v>
      </c>
      <c r="D1011">
        <v>0</v>
      </c>
      <c r="E1011">
        <v>0</v>
      </c>
      <c r="F1011">
        <v>79</v>
      </c>
      <c r="G1011">
        <v>140</v>
      </c>
      <c r="H1011">
        <v>62</v>
      </c>
      <c r="I1011">
        <v>49</v>
      </c>
      <c r="J1011">
        <v>189</v>
      </c>
      <c r="K1011">
        <v>126</v>
      </c>
      <c r="L1011">
        <v>44</v>
      </c>
      <c r="M1011">
        <v>689</v>
      </c>
      <c r="P1011" s="4"/>
    </row>
    <row r="1012" spans="1:16" x14ac:dyDescent="0.3">
      <c r="A1012" t="s">
        <v>131</v>
      </c>
      <c r="B1012" t="s">
        <v>993</v>
      </c>
      <c r="C1012">
        <v>0</v>
      </c>
      <c r="D1012">
        <v>0</v>
      </c>
      <c r="E1012">
        <v>0</v>
      </c>
      <c r="F1012">
        <v>0</v>
      </c>
      <c r="G1012">
        <v>0</v>
      </c>
      <c r="H1012">
        <v>0</v>
      </c>
      <c r="I1012">
        <v>0</v>
      </c>
      <c r="J1012">
        <v>0</v>
      </c>
      <c r="K1012">
        <v>29</v>
      </c>
      <c r="L1012">
        <v>83</v>
      </c>
      <c r="M1012">
        <v>112</v>
      </c>
      <c r="P1012" s="3"/>
    </row>
    <row r="1013" spans="1:16" x14ac:dyDescent="0.3">
      <c r="A1013" t="s">
        <v>131</v>
      </c>
      <c r="B1013" t="s">
        <v>994</v>
      </c>
      <c r="C1013">
        <v>0</v>
      </c>
      <c r="D1013">
        <v>0</v>
      </c>
      <c r="E1013">
        <v>0</v>
      </c>
      <c r="F1013">
        <v>1</v>
      </c>
      <c r="G1013">
        <v>2</v>
      </c>
      <c r="H1013">
        <v>0</v>
      </c>
      <c r="I1013">
        <v>0</v>
      </c>
      <c r="J1013">
        <v>0</v>
      </c>
      <c r="K1013">
        <v>0</v>
      </c>
      <c r="L1013">
        <v>0</v>
      </c>
      <c r="M1013">
        <v>3</v>
      </c>
      <c r="P1013" s="4"/>
    </row>
    <row r="1014" spans="1:16" x14ac:dyDescent="0.3">
      <c r="A1014" t="s">
        <v>136</v>
      </c>
      <c r="B1014" t="s">
        <v>995</v>
      </c>
      <c r="C1014">
        <v>0</v>
      </c>
      <c r="D1014">
        <v>0</v>
      </c>
      <c r="E1014">
        <v>7</v>
      </c>
      <c r="F1014">
        <v>0</v>
      </c>
      <c r="G1014">
        <v>0</v>
      </c>
      <c r="H1014">
        <v>0</v>
      </c>
      <c r="I1014">
        <v>0</v>
      </c>
      <c r="J1014">
        <v>0</v>
      </c>
      <c r="K1014">
        <v>0</v>
      </c>
      <c r="L1014">
        <v>0</v>
      </c>
      <c r="M1014">
        <v>7</v>
      </c>
      <c r="P1014" s="3"/>
    </row>
    <row r="1015" spans="1:16" x14ac:dyDescent="0.3">
      <c r="A1015" t="s">
        <v>136</v>
      </c>
      <c r="B1015" t="s">
        <v>996</v>
      </c>
      <c r="C1015">
        <v>0</v>
      </c>
      <c r="D1015">
        <v>0</v>
      </c>
      <c r="E1015">
        <v>2</v>
      </c>
      <c r="F1015">
        <v>0</v>
      </c>
      <c r="G1015">
        <v>0</v>
      </c>
      <c r="H1015">
        <v>0</v>
      </c>
      <c r="I1015">
        <v>0</v>
      </c>
      <c r="J1015">
        <v>0</v>
      </c>
      <c r="K1015">
        <v>0</v>
      </c>
      <c r="L1015">
        <v>0</v>
      </c>
      <c r="M1015">
        <v>2</v>
      </c>
      <c r="P1015" s="4"/>
    </row>
    <row r="1016" spans="1:16" x14ac:dyDescent="0.3">
      <c r="A1016" t="s">
        <v>131</v>
      </c>
      <c r="B1016" t="s">
        <v>997</v>
      </c>
      <c r="C1016">
        <v>0</v>
      </c>
      <c r="D1016">
        <v>0</v>
      </c>
      <c r="E1016">
        <v>0</v>
      </c>
      <c r="F1016">
        <v>45</v>
      </c>
      <c r="G1016">
        <v>106</v>
      </c>
      <c r="H1016">
        <v>79</v>
      </c>
      <c r="I1016">
        <v>61</v>
      </c>
      <c r="J1016">
        <v>11</v>
      </c>
      <c r="K1016">
        <v>6</v>
      </c>
      <c r="L1016">
        <v>26</v>
      </c>
      <c r="M1016">
        <v>334</v>
      </c>
      <c r="P1016" s="3"/>
    </row>
    <row r="1017" spans="1:16" x14ac:dyDescent="0.3">
      <c r="A1017" t="s">
        <v>131</v>
      </c>
      <c r="B1017" t="s">
        <v>998</v>
      </c>
      <c r="C1017">
        <v>0</v>
      </c>
      <c r="D1017">
        <v>0</v>
      </c>
      <c r="E1017">
        <v>1</v>
      </c>
      <c r="F1017">
        <v>0</v>
      </c>
      <c r="G1017">
        <v>0</v>
      </c>
      <c r="H1017">
        <v>0</v>
      </c>
      <c r="I1017">
        <v>0</v>
      </c>
      <c r="J1017">
        <v>0</v>
      </c>
      <c r="K1017">
        <v>0</v>
      </c>
      <c r="L1017">
        <v>0</v>
      </c>
      <c r="M1017">
        <v>1</v>
      </c>
      <c r="P1017" s="4"/>
    </row>
    <row r="1018" spans="1:16" x14ac:dyDescent="0.3">
      <c r="A1018" t="s">
        <v>131</v>
      </c>
      <c r="B1018" t="s">
        <v>999</v>
      </c>
      <c r="C1018">
        <v>0</v>
      </c>
      <c r="D1018">
        <v>0</v>
      </c>
      <c r="E1018">
        <v>3</v>
      </c>
      <c r="F1018">
        <v>6</v>
      </c>
      <c r="G1018">
        <v>0</v>
      </c>
      <c r="H1018">
        <v>0</v>
      </c>
      <c r="I1018">
        <v>0</v>
      </c>
      <c r="J1018">
        <v>0</v>
      </c>
      <c r="K1018">
        <v>0</v>
      </c>
      <c r="L1018">
        <v>0</v>
      </c>
      <c r="M1018">
        <v>9</v>
      </c>
      <c r="P1018" s="3"/>
    </row>
    <row r="1019" spans="1:16" x14ac:dyDescent="0.3">
      <c r="A1019" t="s">
        <v>131</v>
      </c>
      <c r="B1019" t="s">
        <v>1000</v>
      </c>
      <c r="C1019">
        <v>0</v>
      </c>
      <c r="D1019">
        <v>0</v>
      </c>
      <c r="E1019">
        <v>10</v>
      </c>
      <c r="F1019">
        <v>1</v>
      </c>
      <c r="G1019">
        <v>0</v>
      </c>
      <c r="H1019">
        <v>0</v>
      </c>
      <c r="I1019">
        <v>0</v>
      </c>
      <c r="J1019">
        <v>0</v>
      </c>
      <c r="K1019">
        <v>0</v>
      </c>
      <c r="L1019">
        <v>0</v>
      </c>
      <c r="M1019">
        <v>11</v>
      </c>
      <c r="P1019" s="4"/>
    </row>
    <row r="1020" spans="1:16" x14ac:dyDescent="0.3">
      <c r="A1020" t="s">
        <v>131</v>
      </c>
      <c r="B1020" t="s">
        <v>1001</v>
      </c>
      <c r="C1020">
        <v>0</v>
      </c>
      <c r="D1020">
        <v>212</v>
      </c>
      <c r="E1020">
        <v>409</v>
      </c>
      <c r="F1020">
        <v>209</v>
      </c>
      <c r="G1020">
        <v>59</v>
      </c>
      <c r="H1020">
        <v>15</v>
      </c>
      <c r="I1020">
        <v>9</v>
      </c>
      <c r="J1020">
        <v>0</v>
      </c>
      <c r="K1020">
        <v>0</v>
      </c>
      <c r="L1020">
        <v>0</v>
      </c>
      <c r="M1020">
        <v>913</v>
      </c>
      <c r="P1020" s="3"/>
    </row>
    <row r="1021" spans="1:16" x14ac:dyDescent="0.3">
      <c r="A1021" t="s">
        <v>131</v>
      </c>
      <c r="B1021" t="s">
        <v>1002</v>
      </c>
      <c r="C1021">
        <v>0</v>
      </c>
      <c r="D1021">
        <v>0</v>
      </c>
      <c r="E1021">
        <v>2</v>
      </c>
      <c r="F1021">
        <v>0</v>
      </c>
      <c r="G1021">
        <v>0</v>
      </c>
      <c r="H1021">
        <v>0</v>
      </c>
      <c r="I1021">
        <v>0</v>
      </c>
      <c r="J1021">
        <v>0</v>
      </c>
      <c r="K1021">
        <v>0</v>
      </c>
      <c r="L1021">
        <v>0</v>
      </c>
      <c r="M1021">
        <v>2</v>
      </c>
      <c r="P1021" s="4"/>
    </row>
    <row r="1022" spans="1:16" x14ac:dyDescent="0.3">
      <c r="A1022" t="s">
        <v>131</v>
      </c>
      <c r="B1022" t="s">
        <v>1003</v>
      </c>
      <c r="C1022">
        <v>140</v>
      </c>
      <c r="D1022">
        <v>1203</v>
      </c>
      <c r="E1022">
        <v>1532</v>
      </c>
      <c r="F1022">
        <v>3226</v>
      </c>
      <c r="G1022">
        <v>5080</v>
      </c>
      <c r="H1022">
        <v>4153</v>
      </c>
      <c r="I1022">
        <v>7098</v>
      </c>
      <c r="J1022">
        <v>19314</v>
      </c>
      <c r="K1022">
        <v>29321</v>
      </c>
      <c r="L1022">
        <v>16408</v>
      </c>
      <c r="M1022">
        <v>87475</v>
      </c>
      <c r="P1022" s="3"/>
    </row>
    <row r="1023" spans="1:16" x14ac:dyDescent="0.3">
      <c r="A1023" t="s">
        <v>136</v>
      </c>
      <c r="B1023" t="s">
        <v>1003</v>
      </c>
      <c r="C1023">
        <v>0</v>
      </c>
      <c r="D1023">
        <v>0</v>
      </c>
      <c r="E1023">
        <v>1</v>
      </c>
      <c r="F1023">
        <v>2</v>
      </c>
      <c r="G1023">
        <v>0</v>
      </c>
      <c r="H1023">
        <v>1</v>
      </c>
      <c r="I1023">
        <v>0</v>
      </c>
      <c r="J1023">
        <v>0</v>
      </c>
      <c r="K1023">
        <v>1</v>
      </c>
      <c r="L1023">
        <v>0</v>
      </c>
      <c r="M1023">
        <v>5</v>
      </c>
      <c r="P1023" s="4"/>
    </row>
    <row r="1024" spans="1:16" x14ac:dyDescent="0.3">
      <c r="A1024" t="s">
        <v>181</v>
      </c>
      <c r="B1024" t="s">
        <v>1003</v>
      </c>
      <c r="C1024">
        <v>0</v>
      </c>
      <c r="D1024">
        <v>0</v>
      </c>
      <c r="E1024">
        <v>0</v>
      </c>
      <c r="F1024">
        <v>0</v>
      </c>
      <c r="G1024">
        <v>0</v>
      </c>
      <c r="H1024">
        <v>0</v>
      </c>
      <c r="I1024">
        <v>0</v>
      </c>
      <c r="J1024">
        <v>0</v>
      </c>
      <c r="K1024">
        <v>1</v>
      </c>
      <c r="L1024">
        <v>0</v>
      </c>
      <c r="M1024">
        <v>1</v>
      </c>
      <c r="P1024" s="3"/>
    </row>
    <row r="1025" spans="1:16" x14ac:dyDescent="0.3">
      <c r="A1025" t="s">
        <v>136</v>
      </c>
      <c r="B1025" t="s">
        <v>1004</v>
      </c>
      <c r="C1025">
        <v>1</v>
      </c>
      <c r="D1025">
        <v>0</v>
      </c>
      <c r="E1025">
        <v>0</v>
      </c>
      <c r="F1025">
        <v>0</v>
      </c>
      <c r="G1025">
        <v>0</v>
      </c>
      <c r="H1025">
        <v>0</v>
      </c>
      <c r="I1025">
        <v>0</v>
      </c>
      <c r="J1025">
        <v>0</v>
      </c>
      <c r="K1025">
        <v>0</v>
      </c>
      <c r="L1025">
        <v>0</v>
      </c>
      <c r="M1025">
        <v>1</v>
      </c>
      <c r="P1025" s="4"/>
    </row>
    <row r="1026" spans="1:16" x14ac:dyDescent="0.3">
      <c r="A1026" t="s">
        <v>131</v>
      </c>
      <c r="B1026" t="s">
        <v>1005</v>
      </c>
      <c r="C1026">
        <v>0</v>
      </c>
      <c r="D1026">
        <v>0</v>
      </c>
      <c r="E1026">
        <v>0</v>
      </c>
      <c r="F1026">
        <v>0</v>
      </c>
      <c r="G1026">
        <v>0</v>
      </c>
      <c r="H1026">
        <v>0</v>
      </c>
      <c r="I1026">
        <v>0</v>
      </c>
      <c r="J1026">
        <v>16</v>
      </c>
      <c r="K1026">
        <v>10</v>
      </c>
      <c r="L1026">
        <v>17</v>
      </c>
      <c r="M1026">
        <v>43</v>
      </c>
      <c r="P1026" s="3"/>
    </row>
    <row r="1027" spans="1:16" x14ac:dyDescent="0.3">
      <c r="A1027" t="s">
        <v>131</v>
      </c>
      <c r="B1027" t="s">
        <v>1006</v>
      </c>
      <c r="C1027">
        <v>0</v>
      </c>
      <c r="D1027">
        <v>0</v>
      </c>
      <c r="E1027">
        <v>1</v>
      </c>
      <c r="F1027">
        <v>0</v>
      </c>
      <c r="G1027">
        <v>0</v>
      </c>
      <c r="H1027">
        <v>0</v>
      </c>
      <c r="I1027">
        <v>0</v>
      </c>
      <c r="J1027">
        <v>0</v>
      </c>
      <c r="K1027">
        <v>0</v>
      </c>
      <c r="L1027">
        <v>0</v>
      </c>
      <c r="M1027">
        <v>1</v>
      </c>
      <c r="P1027" s="4"/>
    </row>
    <row r="1028" spans="1:16" x14ac:dyDescent="0.3">
      <c r="A1028" t="s">
        <v>131</v>
      </c>
      <c r="B1028" t="s">
        <v>1007</v>
      </c>
      <c r="C1028">
        <v>0</v>
      </c>
      <c r="D1028">
        <v>0</v>
      </c>
      <c r="E1028">
        <v>1</v>
      </c>
      <c r="F1028">
        <v>0</v>
      </c>
      <c r="G1028">
        <v>0</v>
      </c>
      <c r="H1028">
        <v>0</v>
      </c>
      <c r="I1028">
        <v>0</v>
      </c>
      <c r="J1028">
        <v>0</v>
      </c>
      <c r="K1028">
        <v>0</v>
      </c>
      <c r="L1028">
        <v>0</v>
      </c>
      <c r="M1028">
        <v>1</v>
      </c>
      <c r="P1028" s="3"/>
    </row>
    <row r="1029" spans="1:16" x14ac:dyDescent="0.3">
      <c r="A1029" t="s">
        <v>131</v>
      </c>
      <c r="B1029" t="s">
        <v>1008</v>
      </c>
      <c r="C1029">
        <v>0</v>
      </c>
      <c r="D1029">
        <v>0</v>
      </c>
      <c r="E1029">
        <v>0</v>
      </c>
      <c r="F1029">
        <v>0</v>
      </c>
      <c r="G1029">
        <v>0</v>
      </c>
      <c r="H1029">
        <v>0</v>
      </c>
      <c r="I1029">
        <v>0</v>
      </c>
      <c r="J1029">
        <v>1133</v>
      </c>
      <c r="K1029">
        <v>5788</v>
      </c>
      <c r="L1029">
        <v>5074</v>
      </c>
      <c r="M1029">
        <v>11995</v>
      </c>
      <c r="P1029" s="4"/>
    </row>
    <row r="1030" spans="1:16" x14ac:dyDescent="0.3">
      <c r="A1030" t="s">
        <v>133</v>
      </c>
      <c r="B1030" t="s">
        <v>1009</v>
      </c>
      <c r="C1030">
        <v>0</v>
      </c>
      <c r="D1030">
        <v>0</v>
      </c>
      <c r="E1030">
        <v>0</v>
      </c>
      <c r="F1030">
        <v>0</v>
      </c>
      <c r="G1030">
        <v>0</v>
      </c>
      <c r="H1030">
        <v>0</v>
      </c>
      <c r="I1030">
        <v>0</v>
      </c>
      <c r="J1030">
        <v>0</v>
      </c>
      <c r="K1030">
        <v>22</v>
      </c>
      <c r="L1030">
        <v>7</v>
      </c>
      <c r="M1030">
        <v>29</v>
      </c>
      <c r="P1030" s="3"/>
    </row>
    <row r="1031" spans="1:16" x14ac:dyDescent="0.3">
      <c r="A1031" t="s">
        <v>131</v>
      </c>
      <c r="B1031" t="s">
        <v>1010</v>
      </c>
      <c r="C1031">
        <v>0</v>
      </c>
      <c r="D1031">
        <v>0</v>
      </c>
      <c r="E1031">
        <v>0</v>
      </c>
      <c r="F1031">
        <v>0</v>
      </c>
      <c r="G1031">
        <v>0</v>
      </c>
      <c r="H1031">
        <v>0</v>
      </c>
      <c r="I1031">
        <v>0</v>
      </c>
      <c r="J1031">
        <v>0</v>
      </c>
      <c r="K1031">
        <v>0</v>
      </c>
      <c r="L1031">
        <v>29</v>
      </c>
      <c r="M1031">
        <v>29</v>
      </c>
      <c r="P1031" s="4"/>
    </row>
    <row r="1032" spans="1:16" x14ac:dyDescent="0.3">
      <c r="A1032" t="s">
        <v>131</v>
      </c>
      <c r="B1032" t="s">
        <v>1011</v>
      </c>
      <c r="C1032">
        <v>0</v>
      </c>
      <c r="D1032">
        <v>0</v>
      </c>
      <c r="E1032">
        <v>0</v>
      </c>
      <c r="F1032">
        <v>0</v>
      </c>
      <c r="G1032">
        <v>0</v>
      </c>
      <c r="H1032">
        <v>0</v>
      </c>
      <c r="I1032">
        <v>7</v>
      </c>
      <c r="J1032">
        <v>142</v>
      </c>
      <c r="K1032">
        <v>36</v>
      </c>
      <c r="L1032">
        <v>11</v>
      </c>
      <c r="M1032">
        <v>196</v>
      </c>
      <c r="P1032" s="3"/>
    </row>
    <row r="1033" spans="1:16" x14ac:dyDescent="0.3">
      <c r="A1033" t="s">
        <v>131</v>
      </c>
      <c r="B1033" t="s">
        <v>1012</v>
      </c>
      <c r="C1033">
        <v>0</v>
      </c>
      <c r="D1033">
        <v>0</v>
      </c>
      <c r="E1033">
        <v>26</v>
      </c>
      <c r="F1033">
        <v>2</v>
      </c>
      <c r="G1033">
        <v>0</v>
      </c>
      <c r="H1033">
        <v>0</v>
      </c>
      <c r="I1033">
        <v>0</v>
      </c>
      <c r="J1033">
        <v>0</v>
      </c>
      <c r="K1033">
        <v>0</v>
      </c>
      <c r="L1033">
        <v>0</v>
      </c>
      <c r="M1033">
        <v>28</v>
      </c>
      <c r="P1033" s="4"/>
    </row>
    <row r="1034" spans="1:16" x14ac:dyDescent="0.3">
      <c r="A1034" t="s">
        <v>131</v>
      </c>
      <c r="B1034" t="s">
        <v>1013</v>
      </c>
      <c r="C1034">
        <v>0</v>
      </c>
      <c r="D1034">
        <v>0</v>
      </c>
      <c r="E1034">
        <v>0</v>
      </c>
      <c r="F1034">
        <v>55</v>
      </c>
      <c r="G1034">
        <v>35</v>
      </c>
      <c r="H1034">
        <v>2</v>
      </c>
      <c r="I1034">
        <v>6</v>
      </c>
      <c r="J1034">
        <v>241</v>
      </c>
      <c r="K1034">
        <v>175</v>
      </c>
      <c r="L1034">
        <v>65</v>
      </c>
      <c r="M1034">
        <v>579</v>
      </c>
      <c r="P1034" s="3"/>
    </row>
    <row r="1035" spans="1:16" x14ac:dyDescent="0.3">
      <c r="A1035" t="s">
        <v>131</v>
      </c>
      <c r="B1035" t="s">
        <v>1014</v>
      </c>
      <c r="C1035">
        <v>0</v>
      </c>
      <c r="D1035">
        <v>181</v>
      </c>
      <c r="E1035">
        <v>272</v>
      </c>
      <c r="F1035">
        <v>354</v>
      </c>
      <c r="G1035">
        <v>243</v>
      </c>
      <c r="H1035">
        <v>81</v>
      </c>
      <c r="I1035">
        <v>31</v>
      </c>
      <c r="J1035">
        <v>17</v>
      </c>
      <c r="K1035">
        <v>4</v>
      </c>
      <c r="L1035">
        <v>97</v>
      </c>
      <c r="M1035">
        <v>1280</v>
      </c>
      <c r="P1035" s="4"/>
    </row>
    <row r="1036" spans="1:16" x14ac:dyDescent="0.3">
      <c r="A1036" t="s">
        <v>136</v>
      </c>
      <c r="B1036" t="s">
        <v>1015</v>
      </c>
      <c r="C1036">
        <v>0</v>
      </c>
      <c r="D1036">
        <v>0</v>
      </c>
      <c r="E1036">
        <v>1</v>
      </c>
      <c r="F1036">
        <v>0</v>
      </c>
      <c r="G1036">
        <v>0</v>
      </c>
      <c r="H1036">
        <v>0</v>
      </c>
      <c r="I1036">
        <v>0</v>
      </c>
      <c r="J1036">
        <v>0</v>
      </c>
      <c r="K1036">
        <v>0</v>
      </c>
      <c r="L1036">
        <v>0</v>
      </c>
      <c r="M1036">
        <v>1</v>
      </c>
      <c r="P1036" s="3"/>
    </row>
    <row r="1037" spans="1:16" x14ac:dyDescent="0.3">
      <c r="A1037" t="s">
        <v>136</v>
      </c>
      <c r="B1037" t="s">
        <v>1016</v>
      </c>
      <c r="C1037">
        <v>0</v>
      </c>
      <c r="D1037">
        <v>0</v>
      </c>
      <c r="E1037">
        <v>2</v>
      </c>
      <c r="F1037">
        <v>0</v>
      </c>
      <c r="G1037">
        <v>0</v>
      </c>
      <c r="H1037">
        <v>0</v>
      </c>
      <c r="I1037">
        <v>0</v>
      </c>
      <c r="J1037">
        <v>0</v>
      </c>
      <c r="K1037">
        <v>0</v>
      </c>
      <c r="L1037">
        <v>0</v>
      </c>
      <c r="M1037">
        <v>2</v>
      </c>
      <c r="P1037" s="4"/>
    </row>
    <row r="1038" spans="1:16" x14ac:dyDescent="0.3">
      <c r="A1038" t="s">
        <v>133</v>
      </c>
      <c r="B1038" t="s">
        <v>1017</v>
      </c>
      <c r="C1038">
        <v>0</v>
      </c>
      <c r="D1038">
        <v>1</v>
      </c>
      <c r="E1038">
        <v>0</v>
      </c>
      <c r="F1038">
        <v>0</v>
      </c>
      <c r="G1038">
        <v>0</v>
      </c>
      <c r="H1038">
        <v>0</v>
      </c>
      <c r="I1038">
        <v>0</v>
      </c>
      <c r="J1038">
        <v>0</v>
      </c>
      <c r="K1038">
        <v>0</v>
      </c>
      <c r="L1038">
        <v>0</v>
      </c>
      <c r="M1038">
        <v>1</v>
      </c>
      <c r="P1038" s="3"/>
    </row>
    <row r="1039" spans="1:16" x14ac:dyDescent="0.3">
      <c r="A1039" t="s">
        <v>131</v>
      </c>
      <c r="B1039" t="s">
        <v>1017</v>
      </c>
      <c r="C1039">
        <v>0</v>
      </c>
      <c r="D1039">
        <v>1</v>
      </c>
      <c r="E1039">
        <v>2</v>
      </c>
      <c r="F1039">
        <v>0</v>
      </c>
      <c r="G1039">
        <v>0</v>
      </c>
      <c r="H1039">
        <v>0</v>
      </c>
      <c r="I1039">
        <v>0</v>
      </c>
      <c r="J1039">
        <v>0</v>
      </c>
      <c r="K1039">
        <v>0</v>
      </c>
      <c r="L1039">
        <v>0</v>
      </c>
      <c r="M1039">
        <v>3</v>
      </c>
      <c r="P1039" s="4"/>
    </row>
    <row r="1040" spans="1:16" x14ac:dyDescent="0.3">
      <c r="A1040" t="s">
        <v>131</v>
      </c>
      <c r="B1040" t="s">
        <v>1018</v>
      </c>
      <c r="C1040">
        <v>0</v>
      </c>
      <c r="D1040">
        <v>0</v>
      </c>
      <c r="E1040">
        <v>0</v>
      </c>
      <c r="F1040">
        <v>0</v>
      </c>
      <c r="G1040">
        <v>16</v>
      </c>
      <c r="H1040">
        <v>3</v>
      </c>
      <c r="I1040">
        <v>2</v>
      </c>
      <c r="J1040">
        <v>0</v>
      </c>
      <c r="K1040">
        <v>5</v>
      </c>
      <c r="L1040">
        <v>21</v>
      </c>
      <c r="M1040">
        <v>47</v>
      </c>
      <c r="P1040" s="3"/>
    </row>
    <row r="1041" spans="1:16" x14ac:dyDescent="0.3">
      <c r="A1041" t="s">
        <v>131</v>
      </c>
      <c r="B1041" t="s">
        <v>1019</v>
      </c>
      <c r="C1041">
        <v>0</v>
      </c>
      <c r="D1041">
        <v>0</v>
      </c>
      <c r="E1041">
        <v>1</v>
      </c>
      <c r="F1041">
        <v>13</v>
      </c>
      <c r="G1041">
        <v>59</v>
      </c>
      <c r="H1041">
        <v>20</v>
      </c>
      <c r="I1041">
        <v>37</v>
      </c>
      <c r="J1041">
        <v>353</v>
      </c>
      <c r="K1041">
        <v>677</v>
      </c>
      <c r="L1041">
        <v>386</v>
      </c>
      <c r="M1041">
        <v>1546</v>
      </c>
      <c r="P1041" s="4"/>
    </row>
    <row r="1042" spans="1:16" x14ac:dyDescent="0.3">
      <c r="A1042" t="s">
        <v>131</v>
      </c>
      <c r="B1042" t="s">
        <v>1020</v>
      </c>
      <c r="C1042">
        <v>0</v>
      </c>
      <c r="D1042">
        <v>0</v>
      </c>
      <c r="E1042">
        <v>1</v>
      </c>
      <c r="F1042">
        <v>0</v>
      </c>
      <c r="G1042">
        <v>0</v>
      </c>
      <c r="H1042">
        <v>0</v>
      </c>
      <c r="I1042">
        <v>0</v>
      </c>
      <c r="J1042">
        <v>0</v>
      </c>
      <c r="K1042">
        <v>0</v>
      </c>
      <c r="L1042">
        <v>0</v>
      </c>
      <c r="M1042">
        <v>1</v>
      </c>
      <c r="P1042" s="3"/>
    </row>
    <row r="1043" spans="1:16" x14ac:dyDescent="0.3">
      <c r="A1043" t="s">
        <v>131</v>
      </c>
      <c r="B1043" t="s">
        <v>1021</v>
      </c>
      <c r="C1043">
        <v>0</v>
      </c>
      <c r="D1043">
        <v>0</v>
      </c>
      <c r="E1043">
        <v>0</v>
      </c>
      <c r="F1043">
        <v>0</v>
      </c>
      <c r="G1043">
        <v>56</v>
      </c>
      <c r="H1043">
        <v>22</v>
      </c>
      <c r="I1043">
        <v>0</v>
      </c>
      <c r="J1043">
        <v>0</v>
      </c>
      <c r="K1043">
        <v>0</v>
      </c>
      <c r="L1043">
        <v>0</v>
      </c>
      <c r="M1043">
        <v>78</v>
      </c>
      <c r="P1043" s="4"/>
    </row>
    <row r="1044" spans="1:16" x14ac:dyDescent="0.3">
      <c r="A1044" t="s">
        <v>131</v>
      </c>
      <c r="B1044" t="s">
        <v>1022</v>
      </c>
      <c r="C1044">
        <v>0</v>
      </c>
      <c r="D1044">
        <v>0</v>
      </c>
      <c r="E1044">
        <v>11</v>
      </c>
      <c r="F1044">
        <v>0</v>
      </c>
      <c r="G1044">
        <v>0</v>
      </c>
      <c r="H1044">
        <v>0</v>
      </c>
      <c r="I1044">
        <v>0</v>
      </c>
      <c r="J1044">
        <v>0</v>
      </c>
      <c r="K1044">
        <v>0</v>
      </c>
      <c r="L1044">
        <v>0</v>
      </c>
      <c r="M1044">
        <v>11</v>
      </c>
      <c r="P1044" s="3"/>
    </row>
    <row r="1045" spans="1:16" x14ac:dyDescent="0.3">
      <c r="A1045" t="s">
        <v>131</v>
      </c>
      <c r="B1045" t="s">
        <v>1023</v>
      </c>
      <c r="C1045">
        <v>0</v>
      </c>
      <c r="D1045">
        <v>0</v>
      </c>
      <c r="E1045">
        <v>0</v>
      </c>
      <c r="F1045">
        <v>0</v>
      </c>
      <c r="G1045">
        <v>0</v>
      </c>
      <c r="H1045">
        <v>0</v>
      </c>
      <c r="I1045">
        <v>0</v>
      </c>
      <c r="J1045">
        <v>0</v>
      </c>
      <c r="K1045">
        <v>204</v>
      </c>
      <c r="L1045">
        <v>4</v>
      </c>
      <c r="M1045">
        <v>208</v>
      </c>
      <c r="P1045" s="4"/>
    </row>
    <row r="1046" spans="1:16" x14ac:dyDescent="0.3">
      <c r="A1046" t="s">
        <v>136</v>
      </c>
      <c r="B1046" t="s">
        <v>1024</v>
      </c>
      <c r="C1046">
        <v>0</v>
      </c>
      <c r="D1046">
        <v>0</v>
      </c>
      <c r="E1046">
        <v>1</v>
      </c>
      <c r="F1046">
        <v>0</v>
      </c>
      <c r="G1046">
        <v>0</v>
      </c>
      <c r="H1046">
        <v>0</v>
      </c>
      <c r="I1046">
        <v>0</v>
      </c>
      <c r="J1046">
        <v>0</v>
      </c>
      <c r="K1046">
        <v>0</v>
      </c>
      <c r="L1046">
        <v>0</v>
      </c>
      <c r="M1046">
        <v>1</v>
      </c>
      <c r="P1046" s="3"/>
    </row>
    <row r="1047" spans="1:16" x14ac:dyDescent="0.3">
      <c r="A1047" t="s">
        <v>131</v>
      </c>
      <c r="B1047" t="s">
        <v>1025</v>
      </c>
      <c r="C1047">
        <v>7</v>
      </c>
      <c r="D1047">
        <v>13</v>
      </c>
      <c r="E1047">
        <v>4</v>
      </c>
      <c r="F1047">
        <v>0</v>
      </c>
      <c r="G1047">
        <v>0</v>
      </c>
      <c r="H1047">
        <v>0</v>
      </c>
      <c r="I1047">
        <v>0</v>
      </c>
      <c r="J1047">
        <v>0</v>
      </c>
      <c r="K1047">
        <v>0</v>
      </c>
      <c r="L1047">
        <v>0</v>
      </c>
      <c r="M1047">
        <v>24</v>
      </c>
      <c r="P1047" s="4"/>
    </row>
    <row r="1048" spans="1:16" x14ac:dyDescent="0.3">
      <c r="A1048" t="s">
        <v>131</v>
      </c>
      <c r="B1048" t="s">
        <v>1026</v>
      </c>
      <c r="C1048">
        <v>0</v>
      </c>
      <c r="D1048">
        <v>0</v>
      </c>
      <c r="E1048">
        <v>10</v>
      </c>
      <c r="F1048">
        <v>233</v>
      </c>
      <c r="G1048">
        <v>182</v>
      </c>
      <c r="H1048">
        <v>341</v>
      </c>
      <c r="I1048">
        <v>565</v>
      </c>
      <c r="J1048">
        <v>1310</v>
      </c>
      <c r="K1048">
        <v>2831</v>
      </c>
      <c r="L1048">
        <v>2169</v>
      </c>
      <c r="M1048">
        <v>7641</v>
      </c>
      <c r="P1048" s="3"/>
    </row>
    <row r="1049" spans="1:16" x14ac:dyDescent="0.3">
      <c r="A1049" t="s">
        <v>131</v>
      </c>
      <c r="B1049" t="s">
        <v>1027</v>
      </c>
      <c r="C1049">
        <v>0</v>
      </c>
      <c r="D1049">
        <v>4</v>
      </c>
      <c r="E1049">
        <v>12</v>
      </c>
      <c r="F1049">
        <v>2</v>
      </c>
      <c r="G1049">
        <v>0</v>
      </c>
      <c r="H1049">
        <v>0</v>
      </c>
      <c r="I1049">
        <v>0</v>
      </c>
      <c r="J1049">
        <v>1</v>
      </c>
      <c r="K1049">
        <v>2</v>
      </c>
      <c r="L1049">
        <v>0</v>
      </c>
      <c r="M1049">
        <v>21</v>
      </c>
      <c r="P1049" s="4"/>
    </row>
    <row r="1050" spans="1:16" x14ac:dyDescent="0.3">
      <c r="A1050" t="s">
        <v>133</v>
      </c>
      <c r="B1050" t="s">
        <v>1028</v>
      </c>
      <c r="C1050">
        <v>0</v>
      </c>
      <c r="D1050">
        <v>0</v>
      </c>
      <c r="E1050">
        <v>0</v>
      </c>
      <c r="F1050">
        <v>0</v>
      </c>
      <c r="G1050">
        <v>0</v>
      </c>
      <c r="H1050">
        <v>14</v>
      </c>
      <c r="I1050">
        <v>46</v>
      </c>
      <c r="J1050">
        <v>19</v>
      </c>
      <c r="K1050">
        <v>22</v>
      </c>
      <c r="L1050">
        <v>8</v>
      </c>
      <c r="M1050">
        <v>109</v>
      </c>
      <c r="P1050" s="3"/>
    </row>
    <row r="1051" spans="1:16" x14ac:dyDescent="0.3">
      <c r="A1051" t="s">
        <v>131</v>
      </c>
      <c r="B1051" t="s">
        <v>1029</v>
      </c>
      <c r="C1051">
        <v>0</v>
      </c>
      <c r="D1051">
        <v>0</v>
      </c>
      <c r="E1051">
        <v>1</v>
      </c>
      <c r="F1051">
        <v>0</v>
      </c>
      <c r="G1051">
        <v>0</v>
      </c>
      <c r="H1051">
        <v>5</v>
      </c>
      <c r="I1051">
        <v>4</v>
      </c>
      <c r="J1051">
        <v>5</v>
      </c>
      <c r="K1051">
        <v>1</v>
      </c>
      <c r="L1051">
        <v>1</v>
      </c>
      <c r="M1051">
        <v>17</v>
      </c>
      <c r="P1051" s="4"/>
    </row>
    <row r="1052" spans="1:16" x14ac:dyDescent="0.3">
      <c r="A1052" t="s">
        <v>131</v>
      </c>
      <c r="B1052" t="s">
        <v>1030</v>
      </c>
      <c r="C1052">
        <v>0</v>
      </c>
      <c r="D1052">
        <v>0</v>
      </c>
      <c r="E1052">
        <v>0</v>
      </c>
      <c r="F1052">
        <v>0</v>
      </c>
      <c r="G1052">
        <v>14</v>
      </c>
      <c r="H1052">
        <v>13</v>
      </c>
      <c r="I1052">
        <v>22</v>
      </c>
      <c r="J1052">
        <v>36</v>
      </c>
      <c r="K1052">
        <v>36</v>
      </c>
      <c r="L1052">
        <v>13</v>
      </c>
      <c r="M1052">
        <v>134</v>
      </c>
      <c r="P1052" s="3"/>
    </row>
    <row r="1053" spans="1:16" x14ac:dyDescent="0.3">
      <c r="A1053" t="s">
        <v>133</v>
      </c>
      <c r="B1053" t="s">
        <v>1031</v>
      </c>
      <c r="C1053">
        <v>0</v>
      </c>
      <c r="D1053">
        <v>0</v>
      </c>
      <c r="E1053">
        <v>0</v>
      </c>
      <c r="F1053">
        <v>0</v>
      </c>
      <c r="G1053">
        <v>0</v>
      </c>
      <c r="H1053">
        <v>0</v>
      </c>
      <c r="I1053">
        <v>0</v>
      </c>
      <c r="J1053">
        <v>0</v>
      </c>
      <c r="K1053">
        <v>3</v>
      </c>
      <c r="L1053">
        <v>12</v>
      </c>
      <c r="M1053">
        <v>15</v>
      </c>
      <c r="P1053" s="4"/>
    </row>
    <row r="1054" spans="1:16" x14ac:dyDescent="0.3">
      <c r="A1054" t="s">
        <v>131</v>
      </c>
      <c r="B1054" t="s">
        <v>1032</v>
      </c>
      <c r="C1054">
        <v>0</v>
      </c>
      <c r="D1054">
        <v>0</v>
      </c>
      <c r="E1054">
        <v>0</v>
      </c>
      <c r="F1054">
        <v>40</v>
      </c>
      <c r="G1054">
        <v>54</v>
      </c>
      <c r="H1054">
        <v>28</v>
      </c>
      <c r="I1054">
        <v>23</v>
      </c>
      <c r="J1054">
        <v>55</v>
      </c>
      <c r="K1054">
        <v>54</v>
      </c>
      <c r="L1054">
        <v>37</v>
      </c>
      <c r="M1054">
        <v>291</v>
      </c>
      <c r="P1054" s="3"/>
    </row>
    <row r="1055" spans="1:16" x14ac:dyDescent="0.3">
      <c r="A1055" t="s">
        <v>131</v>
      </c>
      <c r="B1055" t="s">
        <v>1033</v>
      </c>
      <c r="C1055">
        <v>0</v>
      </c>
      <c r="D1055">
        <v>0</v>
      </c>
      <c r="E1055">
        <v>0</v>
      </c>
      <c r="F1055">
        <v>32</v>
      </c>
      <c r="G1055">
        <v>79</v>
      </c>
      <c r="H1055">
        <v>59</v>
      </c>
      <c r="I1055">
        <v>130</v>
      </c>
      <c r="J1055">
        <v>401</v>
      </c>
      <c r="K1055">
        <v>911</v>
      </c>
      <c r="L1055">
        <v>700</v>
      </c>
      <c r="M1055">
        <v>2312</v>
      </c>
      <c r="P1055" s="4"/>
    </row>
    <row r="1056" spans="1:16" x14ac:dyDescent="0.3">
      <c r="A1056" t="s">
        <v>131</v>
      </c>
      <c r="B1056" t="s">
        <v>1034</v>
      </c>
      <c r="C1056">
        <v>0</v>
      </c>
      <c r="D1056">
        <v>0</v>
      </c>
      <c r="E1056">
        <v>88</v>
      </c>
      <c r="F1056">
        <v>50</v>
      </c>
      <c r="G1056">
        <v>6</v>
      </c>
      <c r="H1056">
        <v>6</v>
      </c>
      <c r="I1056">
        <v>4</v>
      </c>
      <c r="J1056">
        <v>0</v>
      </c>
      <c r="K1056">
        <v>0</v>
      </c>
      <c r="L1056">
        <v>0</v>
      </c>
      <c r="M1056">
        <v>154</v>
      </c>
      <c r="P1056" s="3"/>
    </row>
    <row r="1057" spans="1:16" x14ac:dyDescent="0.3">
      <c r="A1057" t="s">
        <v>131</v>
      </c>
      <c r="B1057" t="s">
        <v>1035</v>
      </c>
      <c r="C1057">
        <v>0</v>
      </c>
      <c r="D1057">
        <v>0</v>
      </c>
      <c r="E1057">
        <v>0</v>
      </c>
      <c r="F1057">
        <v>0</v>
      </c>
      <c r="G1057">
        <v>0</v>
      </c>
      <c r="H1057">
        <v>0</v>
      </c>
      <c r="I1057">
        <v>0</v>
      </c>
      <c r="J1057">
        <v>16</v>
      </c>
      <c r="K1057">
        <v>49</v>
      </c>
      <c r="L1057">
        <v>14</v>
      </c>
      <c r="M1057">
        <v>79</v>
      </c>
      <c r="P1057" s="4"/>
    </row>
    <row r="1058" spans="1:16" x14ac:dyDescent="0.3">
      <c r="A1058" t="s">
        <v>131</v>
      </c>
      <c r="B1058" t="s">
        <v>1036</v>
      </c>
      <c r="C1058">
        <v>0</v>
      </c>
      <c r="D1058">
        <v>0</v>
      </c>
      <c r="E1058">
        <v>0</v>
      </c>
      <c r="F1058">
        <v>0</v>
      </c>
      <c r="G1058">
        <v>0</v>
      </c>
      <c r="H1058">
        <v>1</v>
      </c>
      <c r="I1058">
        <v>0</v>
      </c>
      <c r="J1058">
        <v>0</v>
      </c>
      <c r="K1058">
        <v>0</v>
      </c>
      <c r="L1058">
        <v>0</v>
      </c>
      <c r="M1058">
        <v>1</v>
      </c>
      <c r="P1058" s="3"/>
    </row>
    <row r="1059" spans="1:16" x14ac:dyDescent="0.3">
      <c r="A1059" t="s">
        <v>131</v>
      </c>
      <c r="B1059" t="s">
        <v>1037</v>
      </c>
      <c r="C1059">
        <v>0</v>
      </c>
      <c r="D1059">
        <v>0</v>
      </c>
      <c r="E1059">
        <v>0</v>
      </c>
      <c r="F1059">
        <v>63</v>
      </c>
      <c r="G1059">
        <v>28</v>
      </c>
      <c r="H1059">
        <v>49</v>
      </c>
      <c r="I1059">
        <v>28</v>
      </c>
      <c r="J1059">
        <v>60</v>
      </c>
      <c r="K1059">
        <v>31</v>
      </c>
      <c r="L1059">
        <v>23</v>
      </c>
      <c r="M1059">
        <v>282</v>
      </c>
      <c r="P1059" s="4"/>
    </row>
    <row r="1060" spans="1:16" x14ac:dyDescent="0.3">
      <c r="A1060" t="s">
        <v>181</v>
      </c>
      <c r="B1060" t="s">
        <v>1038</v>
      </c>
      <c r="C1060">
        <v>1</v>
      </c>
      <c r="D1060">
        <v>0</v>
      </c>
      <c r="E1060">
        <v>0</v>
      </c>
      <c r="F1060">
        <v>0</v>
      </c>
      <c r="G1060">
        <v>0</v>
      </c>
      <c r="H1060">
        <v>0</v>
      </c>
      <c r="I1060">
        <v>0</v>
      </c>
      <c r="J1060">
        <v>0</v>
      </c>
      <c r="K1060">
        <v>0</v>
      </c>
      <c r="L1060">
        <v>0</v>
      </c>
      <c r="M1060">
        <v>1</v>
      </c>
      <c r="P1060" s="3"/>
    </row>
    <row r="1061" spans="1:16" x14ac:dyDescent="0.3">
      <c r="A1061" t="s">
        <v>131</v>
      </c>
      <c r="B1061" t="s">
        <v>1039</v>
      </c>
      <c r="C1061">
        <v>0</v>
      </c>
      <c r="D1061">
        <v>0</v>
      </c>
      <c r="E1061">
        <v>0</v>
      </c>
      <c r="F1061">
        <v>0</v>
      </c>
      <c r="G1061">
        <v>0</v>
      </c>
      <c r="H1061">
        <v>0</v>
      </c>
      <c r="I1061">
        <v>0</v>
      </c>
      <c r="J1061">
        <v>0</v>
      </c>
      <c r="K1061">
        <v>40</v>
      </c>
      <c r="L1061">
        <v>91</v>
      </c>
      <c r="M1061">
        <v>131</v>
      </c>
      <c r="P1061" s="4"/>
    </row>
    <row r="1062" spans="1:16" x14ac:dyDescent="0.3">
      <c r="A1062" t="s">
        <v>131</v>
      </c>
      <c r="B1062" t="s">
        <v>1040</v>
      </c>
      <c r="C1062">
        <v>0</v>
      </c>
      <c r="D1062">
        <v>0</v>
      </c>
      <c r="E1062">
        <v>63</v>
      </c>
      <c r="F1062">
        <v>155</v>
      </c>
      <c r="G1062">
        <v>188</v>
      </c>
      <c r="H1062">
        <v>191</v>
      </c>
      <c r="I1062">
        <v>281</v>
      </c>
      <c r="J1062">
        <v>415</v>
      </c>
      <c r="K1062">
        <v>787</v>
      </c>
      <c r="L1062">
        <v>522</v>
      </c>
      <c r="M1062">
        <v>2602</v>
      </c>
      <c r="P1062" s="3"/>
    </row>
    <row r="1063" spans="1:16" x14ac:dyDescent="0.3">
      <c r="A1063" t="s">
        <v>131</v>
      </c>
      <c r="B1063" t="s">
        <v>1041</v>
      </c>
      <c r="C1063">
        <v>0</v>
      </c>
      <c r="D1063">
        <v>0</v>
      </c>
      <c r="E1063">
        <v>1</v>
      </c>
      <c r="F1063">
        <v>0</v>
      </c>
      <c r="G1063">
        <v>0</v>
      </c>
      <c r="H1063">
        <v>0</v>
      </c>
      <c r="I1063">
        <v>0</v>
      </c>
      <c r="J1063">
        <v>0</v>
      </c>
      <c r="K1063">
        <v>0</v>
      </c>
      <c r="L1063">
        <v>0</v>
      </c>
      <c r="M1063">
        <v>1</v>
      </c>
      <c r="P1063" s="4"/>
    </row>
    <row r="1064" spans="1:16" x14ac:dyDescent="0.3">
      <c r="A1064" t="s">
        <v>131</v>
      </c>
      <c r="B1064" t="s">
        <v>1042</v>
      </c>
      <c r="C1064">
        <v>0</v>
      </c>
      <c r="D1064">
        <v>0</v>
      </c>
      <c r="E1064">
        <v>0</v>
      </c>
      <c r="F1064">
        <v>0</v>
      </c>
      <c r="G1064">
        <v>0</v>
      </c>
      <c r="H1064">
        <v>0</v>
      </c>
      <c r="I1064">
        <v>0</v>
      </c>
      <c r="J1064">
        <v>213</v>
      </c>
      <c r="K1064">
        <v>617</v>
      </c>
      <c r="L1064">
        <v>360</v>
      </c>
      <c r="M1064">
        <v>1190</v>
      </c>
      <c r="P1064" s="3"/>
    </row>
    <row r="1065" spans="1:16" x14ac:dyDescent="0.3">
      <c r="A1065" t="s">
        <v>131</v>
      </c>
      <c r="B1065" t="s">
        <v>1043</v>
      </c>
      <c r="C1065">
        <v>0</v>
      </c>
      <c r="D1065">
        <v>0</v>
      </c>
      <c r="E1065">
        <v>0</v>
      </c>
      <c r="F1065">
        <v>0</v>
      </c>
      <c r="G1065">
        <v>0</v>
      </c>
      <c r="H1065">
        <v>0</v>
      </c>
      <c r="I1065">
        <v>0</v>
      </c>
      <c r="J1065">
        <v>0</v>
      </c>
      <c r="K1065">
        <v>28</v>
      </c>
      <c r="L1065">
        <v>21</v>
      </c>
      <c r="M1065">
        <v>49</v>
      </c>
      <c r="P1065" s="4"/>
    </row>
    <row r="1066" spans="1:16" x14ac:dyDescent="0.3">
      <c r="A1066" t="s">
        <v>133</v>
      </c>
      <c r="B1066" t="s">
        <v>1044</v>
      </c>
      <c r="C1066">
        <v>0</v>
      </c>
      <c r="D1066">
        <v>0</v>
      </c>
      <c r="E1066">
        <v>0</v>
      </c>
      <c r="F1066">
        <v>0</v>
      </c>
      <c r="G1066">
        <v>0</v>
      </c>
      <c r="H1066">
        <v>0</v>
      </c>
      <c r="I1066">
        <v>0</v>
      </c>
      <c r="J1066">
        <v>0</v>
      </c>
      <c r="K1066">
        <v>0</v>
      </c>
      <c r="L1066">
        <v>1568</v>
      </c>
      <c r="M1066">
        <v>1568</v>
      </c>
      <c r="P1066" s="3"/>
    </row>
    <row r="1067" spans="1:16" x14ac:dyDescent="0.3">
      <c r="A1067" t="s">
        <v>131</v>
      </c>
      <c r="B1067" t="s">
        <v>1045</v>
      </c>
      <c r="C1067">
        <v>0</v>
      </c>
      <c r="D1067">
        <v>12</v>
      </c>
      <c r="E1067">
        <v>11</v>
      </c>
      <c r="F1067">
        <v>20</v>
      </c>
      <c r="G1067">
        <v>1</v>
      </c>
      <c r="H1067">
        <v>1</v>
      </c>
      <c r="I1067">
        <v>0</v>
      </c>
      <c r="J1067">
        <v>0</v>
      </c>
      <c r="K1067">
        <v>0</v>
      </c>
      <c r="L1067">
        <v>0</v>
      </c>
      <c r="M1067">
        <v>45</v>
      </c>
      <c r="P1067" s="4"/>
    </row>
    <row r="1068" spans="1:16" x14ac:dyDescent="0.3">
      <c r="A1068" t="s">
        <v>131</v>
      </c>
      <c r="B1068" t="s">
        <v>1046</v>
      </c>
      <c r="C1068">
        <v>0</v>
      </c>
      <c r="D1068">
        <v>82</v>
      </c>
      <c r="E1068">
        <v>352</v>
      </c>
      <c r="F1068">
        <v>565</v>
      </c>
      <c r="G1068">
        <v>950</v>
      </c>
      <c r="H1068">
        <v>452</v>
      </c>
      <c r="I1068">
        <v>505</v>
      </c>
      <c r="J1068">
        <v>853</v>
      </c>
      <c r="K1068">
        <v>431</v>
      </c>
      <c r="L1068">
        <v>145</v>
      </c>
      <c r="M1068">
        <v>4335</v>
      </c>
      <c r="P1068" s="3"/>
    </row>
    <row r="1069" spans="1:16" x14ac:dyDescent="0.3">
      <c r="A1069" t="s">
        <v>136</v>
      </c>
      <c r="B1069" t="s">
        <v>1046</v>
      </c>
      <c r="C1069">
        <v>0</v>
      </c>
      <c r="D1069">
        <v>0</v>
      </c>
      <c r="E1069">
        <v>0</v>
      </c>
      <c r="F1069">
        <v>1</v>
      </c>
      <c r="G1069">
        <v>1</v>
      </c>
      <c r="H1069">
        <v>0</v>
      </c>
      <c r="I1069">
        <v>9</v>
      </c>
      <c r="J1069">
        <v>0</v>
      </c>
      <c r="K1069">
        <v>0</v>
      </c>
      <c r="L1069">
        <v>0</v>
      </c>
      <c r="M1069">
        <v>11</v>
      </c>
      <c r="P1069" s="4"/>
    </row>
    <row r="1070" spans="1:16" x14ac:dyDescent="0.3">
      <c r="A1070" t="s">
        <v>131</v>
      </c>
      <c r="B1070" t="s">
        <v>1047</v>
      </c>
      <c r="C1070">
        <v>0</v>
      </c>
      <c r="D1070">
        <v>0</v>
      </c>
      <c r="E1070">
        <v>19</v>
      </c>
      <c r="F1070">
        <v>9</v>
      </c>
      <c r="G1070">
        <v>0</v>
      </c>
      <c r="H1070">
        <v>0</v>
      </c>
      <c r="I1070">
        <v>0</v>
      </c>
      <c r="J1070">
        <v>0</v>
      </c>
      <c r="K1070">
        <v>0</v>
      </c>
      <c r="L1070">
        <v>0</v>
      </c>
      <c r="M1070">
        <v>28</v>
      </c>
      <c r="P1070" s="3"/>
    </row>
    <row r="1071" spans="1:16" x14ac:dyDescent="0.3">
      <c r="A1071" t="s">
        <v>131</v>
      </c>
      <c r="B1071" t="s">
        <v>1048</v>
      </c>
      <c r="C1071">
        <v>0</v>
      </c>
      <c r="D1071">
        <v>0</v>
      </c>
      <c r="E1071">
        <v>30</v>
      </c>
      <c r="F1071">
        <v>92</v>
      </c>
      <c r="G1071">
        <v>61</v>
      </c>
      <c r="H1071">
        <v>8</v>
      </c>
      <c r="I1071">
        <v>10</v>
      </c>
      <c r="J1071">
        <v>5</v>
      </c>
      <c r="K1071">
        <v>110</v>
      </c>
      <c r="L1071">
        <v>138</v>
      </c>
      <c r="M1071">
        <v>454</v>
      </c>
      <c r="P1071" s="4"/>
    </row>
    <row r="1072" spans="1:16" x14ac:dyDescent="0.3">
      <c r="A1072" t="s">
        <v>131</v>
      </c>
      <c r="B1072" t="s">
        <v>1049</v>
      </c>
      <c r="C1072">
        <v>0</v>
      </c>
      <c r="D1072">
        <v>0</v>
      </c>
      <c r="E1072">
        <v>0</v>
      </c>
      <c r="F1072">
        <v>0</v>
      </c>
      <c r="G1072">
        <v>0</v>
      </c>
      <c r="H1072">
        <v>0</v>
      </c>
      <c r="I1072">
        <v>0</v>
      </c>
      <c r="J1072">
        <v>91</v>
      </c>
      <c r="K1072">
        <v>120</v>
      </c>
      <c r="L1072">
        <v>72</v>
      </c>
      <c r="M1072">
        <v>283</v>
      </c>
      <c r="P1072" s="3"/>
    </row>
    <row r="1073" spans="1:16" x14ac:dyDescent="0.3">
      <c r="A1073" t="s">
        <v>131</v>
      </c>
      <c r="B1073" t="s">
        <v>1050</v>
      </c>
      <c r="C1073">
        <v>0</v>
      </c>
      <c r="D1073">
        <v>0</v>
      </c>
      <c r="E1073">
        <v>0</v>
      </c>
      <c r="F1073">
        <v>0</v>
      </c>
      <c r="G1073">
        <v>0</v>
      </c>
      <c r="H1073">
        <v>0</v>
      </c>
      <c r="I1073">
        <v>0</v>
      </c>
      <c r="J1073">
        <v>0</v>
      </c>
      <c r="K1073">
        <v>0</v>
      </c>
      <c r="L1073">
        <v>72</v>
      </c>
      <c r="M1073">
        <v>72</v>
      </c>
      <c r="P1073" s="4"/>
    </row>
    <row r="1074" spans="1:16" x14ac:dyDescent="0.3">
      <c r="A1074" t="s">
        <v>131</v>
      </c>
      <c r="B1074" t="s">
        <v>1051</v>
      </c>
      <c r="C1074">
        <v>0</v>
      </c>
      <c r="D1074">
        <v>0</v>
      </c>
      <c r="E1074">
        <v>633</v>
      </c>
      <c r="F1074">
        <v>582</v>
      </c>
      <c r="G1074">
        <v>209</v>
      </c>
      <c r="H1074">
        <v>40</v>
      </c>
      <c r="I1074">
        <v>23</v>
      </c>
      <c r="J1074">
        <v>69</v>
      </c>
      <c r="K1074">
        <v>197</v>
      </c>
      <c r="L1074">
        <v>151</v>
      </c>
      <c r="M1074">
        <v>1904</v>
      </c>
      <c r="P1074" s="3"/>
    </row>
    <row r="1075" spans="1:16" x14ac:dyDescent="0.3">
      <c r="A1075" t="s">
        <v>136</v>
      </c>
      <c r="B1075" t="s">
        <v>1052</v>
      </c>
      <c r="C1075">
        <v>0</v>
      </c>
      <c r="D1075">
        <v>2</v>
      </c>
      <c r="E1075">
        <v>2</v>
      </c>
      <c r="F1075">
        <v>0</v>
      </c>
      <c r="G1075">
        <v>0</v>
      </c>
      <c r="H1075">
        <v>0</v>
      </c>
      <c r="I1075">
        <v>0</v>
      </c>
      <c r="J1075">
        <v>0</v>
      </c>
      <c r="K1075">
        <v>0</v>
      </c>
      <c r="L1075">
        <v>0</v>
      </c>
      <c r="M1075">
        <v>4</v>
      </c>
      <c r="P1075" s="4"/>
    </row>
    <row r="1076" spans="1:16" x14ac:dyDescent="0.3">
      <c r="A1076" t="s">
        <v>131</v>
      </c>
      <c r="B1076" t="s">
        <v>1053</v>
      </c>
      <c r="C1076">
        <v>0</v>
      </c>
      <c r="D1076">
        <v>0</v>
      </c>
      <c r="E1076">
        <v>0</v>
      </c>
      <c r="F1076">
        <v>0</v>
      </c>
      <c r="G1076">
        <v>0</v>
      </c>
      <c r="H1076">
        <v>0</v>
      </c>
      <c r="I1076">
        <v>0</v>
      </c>
      <c r="J1076">
        <v>0</v>
      </c>
      <c r="K1076">
        <v>0</v>
      </c>
      <c r="L1076">
        <v>65</v>
      </c>
      <c r="M1076">
        <v>65</v>
      </c>
      <c r="P1076" s="3"/>
    </row>
    <row r="1077" spans="1:16" x14ac:dyDescent="0.3">
      <c r="A1077" t="s">
        <v>131</v>
      </c>
      <c r="B1077" t="s">
        <v>1054</v>
      </c>
      <c r="C1077">
        <v>0</v>
      </c>
      <c r="D1077">
        <v>0</v>
      </c>
      <c r="E1077">
        <v>0</v>
      </c>
      <c r="F1077">
        <v>0</v>
      </c>
      <c r="G1077">
        <v>0</v>
      </c>
      <c r="H1077">
        <v>0</v>
      </c>
      <c r="I1077">
        <v>0</v>
      </c>
      <c r="J1077">
        <v>0</v>
      </c>
      <c r="K1077">
        <v>0</v>
      </c>
      <c r="L1077">
        <v>35</v>
      </c>
      <c r="M1077">
        <v>35</v>
      </c>
      <c r="P1077" s="4"/>
    </row>
    <row r="1078" spans="1:16" x14ac:dyDescent="0.3">
      <c r="A1078" t="s">
        <v>131</v>
      </c>
      <c r="B1078" t="s">
        <v>1055</v>
      </c>
      <c r="C1078">
        <v>0</v>
      </c>
      <c r="D1078">
        <v>0</v>
      </c>
      <c r="E1078">
        <v>0</v>
      </c>
      <c r="F1078">
        <v>33</v>
      </c>
      <c r="G1078">
        <v>69</v>
      </c>
      <c r="H1078">
        <v>14</v>
      </c>
      <c r="I1078">
        <v>17</v>
      </c>
      <c r="J1078">
        <v>181</v>
      </c>
      <c r="K1078">
        <v>307</v>
      </c>
      <c r="L1078">
        <v>98</v>
      </c>
      <c r="M1078">
        <v>719</v>
      </c>
      <c r="P1078" s="3"/>
    </row>
    <row r="1079" spans="1:16" x14ac:dyDescent="0.3">
      <c r="A1079" t="s">
        <v>131</v>
      </c>
      <c r="B1079" t="s">
        <v>1056</v>
      </c>
      <c r="C1079">
        <v>0</v>
      </c>
      <c r="D1079">
        <v>0</v>
      </c>
      <c r="E1079">
        <v>44</v>
      </c>
      <c r="F1079">
        <v>39</v>
      </c>
      <c r="G1079">
        <v>0</v>
      </c>
      <c r="H1079">
        <v>0</v>
      </c>
      <c r="I1079">
        <v>0</v>
      </c>
      <c r="J1079">
        <v>0</v>
      </c>
      <c r="K1079">
        <v>0</v>
      </c>
      <c r="L1079">
        <v>0</v>
      </c>
      <c r="M1079">
        <v>83</v>
      </c>
      <c r="P1079" s="4"/>
    </row>
    <row r="1080" spans="1:16" x14ac:dyDescent="0.3">
      <c r="A1080" t="s">
        <v>131</v>
      </c>
      <c r="B1080" t="s">
        <v>1057</v>
      </c>
      <c r="C1080">
        <v>0</v>
      </c>
      <c r="D1080">
        <v>0</v>
      </c>
      <c r="E1080">
        <v>0</v>
      </c>
      <c r="F1080">
        <v>2</v>
      </c>
      <c r="G1080">
        <v>14</v>
      </c>
      <c r="H1080">
        <v>13</v>
      </c>
      <c r="I1080">
        <v>43</v>
      </c>
      <c r="J1080">
        <v>13</v>
      </c>
      <c r="K1080">
        <v>9</v>
      </c>
      <c r="L1080">
        <v>3</v>
      </c>
      <c r="M1080">
        <v>97</v>
      </c>
      <c r="P1080" s="3"/>
    </row>
    <row r="1081" spans="1:16" x14ac:dyDescent="0.3">
      <c r="A1081" t="s">
        <v>136</v>
      </c>
      <c r="B1081" t="s">
        <v>1058</v>
      </c>
      <c r="C1081">
        <v>2</v>
      </c>
      <c r="D1081">
        <v>2</v>
      </c>
      <c r="E1081">
        <v>5</v>
      </c>
      <c r="F1081">
        <v>8</v>
      </c>
      <c r="G1081">
        <v>0</v>
      </c>
      <c r="H1081">
        <v>0</v>
      </c>
      <c r="I1081">
        <v>0</v>
      </c>
      <c r="J1081">
        <v>0</v>
      </c>
      <c r="K1081">
        <v>0</v>
      </c>
      <c r="L1081">
        <v>0</v>
      </c>
      <c r="M1081">
        <v>17</v>
      </c>
      <c r="P1081" s="4"/>
    </row>
    <row r="1082" spans="1:16" x14ac:dyDescent="0.3">
      <c r="A1082" t="s">
        <v>181</v>
      </c>
      <c r="B1082" t="s">
        <v>1058</v>
      </c>
      <c r="C1082">
        <v>0</v>
      </c>
      <c r="D1082">
        <v>1</v>
      </c>
      <c r="E1082">
        <v>0</v>
      </c>
      <c r="F1082">
        <v>0</v>
      </c>
      <c r="G1082">
        <v>0</v>
      </c>
      <c r="H1082">
        <v>0</v>
      </c>
      <c r="I1082">
        <v>0</v>
      </c>
      <c r="J1082">
        <v>0</v>
      </c>
      <c r="K1082">
        <v>0</v>
      </c>
      <c r="L1082">
        <v>0</v>
      </c>
      <c r="M1082">
        <v>1</v>
      </c>
      <c r="P1082" s="3"/>
    </row>
    <row r="1083" spans="1:16" x14ac:dyDescent="0.3">
      <c r="A1083" t="s">
        <v>136</v>
      </c>
      <c r="B1083" t="s">
        <v>1059</v>
      </c>
      <c r="C1083">
        <v>0</v>
      </c>
      <c r="D1083">
        <v>0</v>
      </c>
      <c r="E1083">
        <v>2</v>
      </c>
      <c r="F1083">
        <v>0</v>
      </c>
      <c r="G1083">
        <v>0</v>
      </c>
      <c r="H1083">
        <v>0</v>
      </c>
      <c r="I1083">
        <v>0</v>
      </c>
      <c r="J1083">
        <v>0</v>
      </c>
      <c r="K1083">
        <v>0</v>
      </c>
      <c r="L1083">
        <v>0</v>
      </c>
      <c r="M1083">
        <v>2</v>
      </c>
      <c r="P1083" s="4"/>
    </row>
    <row r="1084" spans="1:16" x14ac:dyDescent="0.3">
      <c r="A1084" t="s">
        <v>136</v>
      </c>
      <c r="B1084" t="s">
        <v>1060</v>
      </c>
      <c r="C1084">
        <v>0</v>
      </c>
      <c r="D1084">
        <v>1</v>
      </c>
      <c r="E1084">
        <v>0</v>
      </c>
      <c r="F1084">
        <v>0</v>
      </c>
      <c r="G1084">
        <v>0</v>
      </c>
      <c r="H1084">
        <v>0</v>
      </c>
      <c r="I1084">
        <v>0</v>
      </c>
      <c r="J1084">
        <v>0</v>
      </c>
      <c r="K1084">
        <v>0</v>
      </c>
      <c r="L1084">
        <v>0</v>
      </c>
      <c r="M1084">
        <v>1</v>
      </c>
      <c r="P1084" s="3"/>
    </row>
    <row r="1085" spans="1:16" x14ac:dyDescent="0.3">
      <c r="A1085" t="s">
        <v>131</v>
      </c>
      <c r="B1085" t="s">
        <v>1061</v>
      </c>
      <c r="C1085">
        <v>0</v>
      </c>
      <c r="D1085">
        <v>0</v>
      </c>
      <c r="E1085">
        <v>0</v>
      </c>
      <c r="F1085">
        <v>175</v>
      </c>
      <c r="G1085">
        <v>84</v>
      </c>
      <c r="H1085">
        <v>0</v>
      </c>
      <c r="I1085">
        <v>1</v>
      </c>
      <c r="J1085">
        <v>0</v>
      </c>
      <c r="K1085">
        <v>0</v>
      </c>
      <c r="L1085">
        <v>0</v>
      </c>
      <c r="M1085">
        <v>260</v>
      </c>
      <c r="P1085" s="4"/>
    </row>
    <row r="1086" spans="1:16" x14ac:dyDescent="0.3">
      <c r="A1086" t="s">
        <v>136</v>
      </c>
      <c r="B1086" t="s">
        <v>1062</v>
      </c>
      <c r="C1086">
        <v>0</v>
      </c>
      <c r="D1086">
        <v>1</v>
      </c>
      <c r="E1086">
        <v>0</v>
      </c>
      <c r="F1086">
        <v>0</v>
      </c>
      <c r="G1086">
        <v>0</v>
      </c>
      <c r="H1086">
        <v>0</v>
      </c>
      <c r="I1086">
        <v>0</v>
      </c>
      <c r="J1086">
        <v>0</v>
      </c>
      <c r="K1086">
        <v>0</v>
      </c>
      <c r="L1086">
        <v>0</v>
      </c>
      <c r="M1086">
        <v>1</v>
      </c>
      <c r="P1086" s="3"/>
    </row>
    <row r="1087" spans="1:16" x14ac:dyDescent="0.3">
      <c r="A1087" t="s">
        <v>133</v>
      </c>
      <c r="B1087" t="s">
        <v>1063</v>
      </c>
      <c r="C1087">
        <v>0</v>
      </c>
      <c r="D1087">
        <v>0</v>
      </c>
      <c r="E1087">
        <v>0</v>
      </c>
      <c r="F1087">
        <v>0</v>
      </c>
      <c r="G1087">
        <v>0</v>
      </c>
      <c r="H1087">
        <v>0</v>
      </c>
      <c r="I1087">
        <v>0</v>
      </c>
      <c r="J1087">
        <v>1</v>
      </c>
      <c r="K1087">
        <v>0</v>
      </c>
      <c r="L1087">
        <v>0</v>
      </c>
      <c r="M1087">
        <v>1</v>
      </c>
      <c r="P1087" s="4"/>
    </row>
    <row r="1088" spans="1:16" x14ac:dyDescent="0.3">
      <c r="A1088" t="s">
        <v>131</v>
      </c>
      <c r="B1088" t="s">
        <v>1063</v>
      </c>
      <c r="C1088">
        <v>0</v>
      </c>
      <c r="D1088">
        <v>0</v>
      </c>
      <c r="E1088">
        <v>49</v>
      </c>
      <c r="F1088">
        <v>575</v>
      </c>
      <c r="G1088">
        <v>794</v>
      </c>
      <c r="H1088">
        <v>433</v>
      </c>
      <c r="I1088">
        <v>645</v>
      </c>
      <c r="J1088">
        <v>1554</v>
      </c>
      <c r="K1088">
        <v>4086</v>
      </c>
      <c r="L1088">
        <v>3224</v>
      </c>
      <c r="M1088">
        <v>11360</v>
      </c>
      <c r="P1088" s="3"/>
    </row>
    <row r="1089" spans="1:16" x14ac:dyDescent="0.3">
      <c r="A1089" t="s">
        <v>136</v>
      </c>
      <c r="B1089" t="s">
        <v>1063</v>
      </c>
      <c r="C1089">
        <v>0</v>
      </c>
      <c r="D1089">
        <v>0</v>
      </c>
      <c r="E1089">
        <v>0</v>
      </c>
      <c r="F1089">
        <v>0</v>
      </c>
      <c r="G1089">
        <v>0</v>
      </c>
      <c r="H1089">
        <v>0</v>
      </c>
      <c r="I1089">
        <v>0</v>
      </c>
      <c r="J1089">
        <v>1</v>
      </c>
      <c r="K1089">
        <v>2</v>
      </c>
      <c r="L1089">
        <v>0</v>
      </c>
      <c r="M1089">
        <v>3</v>
      </c>
      <c r="P1089" s="4"/>
    </row>
    <row r="1090" spans="1:16" x14ac:dyDescent="0.3">
      <c r="A1090" t="s">
        <v>131</v>
      </c>
      <c r="B1090" t="s">
        <v>1064</v>
      </c>
      <c r="C1090">
        <v>0</v>
      </c>
      <c r="D1090">
        <v>6</v>
      </c>
      <c r="E1090">
        <v>2</v>
      </c>
      <c r="F1090">
        <v>0</v>
      </c>
      <c r="G1090">
        <v>0</v>
      </c>
      <c r="H1090">
        <v>0</v>
      </c>
      <c r="I1090">
        <v>0</v>
      </c>
      <c r="J1090">
        <v>0</v>
      </c>
      <c r="K1090">
        <v>0</v>
      </c>
      <c r="L1090">
        <v>0</v>
      </c>
      <c r="M1090">
        <v>8</v>
      </c>
      <c r="P1090" s="3"/>
    </row>
    <row r="1091" spans="1:16" x14ac:dyDescent="0.3">
      <c r="A1091" t="s">
        <v>131</v>
      </c>
      <c r="B1091" t="s">
        <v>1065</v>
      </c>
      <c r="C1091">
        <v>0</v>
      </c>
      <c r="D1091">
        <v>1</v>
      </c>
      <c r="E1091">
        <v>1</v>
      </c>
      <c r="F1091">
        <v>0</v>
      </c>
      <c r="G1091">
        <v>0</v>
      </c>
      <c r="H1091">
        <v>0</v>
      </c>
      <c r="I1091">
        <v>0</v>
      </c>
      <c r="J1091">
        <v>0</v>
      </c>
      <c r="K1091">
        <v>0</v>
      </c>
      <c r="L1091">
        <v>0</v>
      </c>
      <c r="M1091">
        <v>2</v>
      </c>
      <c r="P1091" s="4"/>
    </row>
    <row r="1092" spans="1:16" x14ac:dyDescent="0.3">
      <c r="A1092" t="s">
        <v>136</v>
      </c>
      <c r="B1092" t="s">
        <v>1065</v>
      </c>
      <c r="C1092">
        <v>0</v>
      </c>
      <c r="D1092">
        <v>0</v>
      </c>
      <c r="E1092">
        <v>0</v>
      </c>
      <c r="F1092">
        <v>1</v>
      </c>
      <c r="G1092">
        <v>0</v>
      </c>
      <c r="H1092">
        <v>0</v>
      </c>
      <c r="I1092">
        <v>0</v>
      </c>
      <c r="J1092">
        <v>0</v>
      </c>
      <c r="K1092">
        <v>0</v>
      </c>
      <c r="L1092">
        <v>0</v>
      </c>
      <c r="M1092">
        <v>1</v>
      </c>
      <c r="P1092" s="3"/>
    </row>
    <row r="1093" spans="1:16" x14ac:dyDescent="0.3">
      <c r="A1093" t="s">
        <v>136</v>
      </c>
      <c r="B1093" t="s">
        <v>1066</v>
      </c>
      <c r="C1093">
        <v>1</v>
      </c>
      <c r="D1093">
        <v>1</v>
      </c>
      <c r="E1093">
        <v>0</v>
      </c>
      <c r="F1093">
        <v>0</v>
      </c>
      <c r="G1093">
        <v>0</v>
      </c>
      <c r="H1093">
        <v>0</v>
      </c>
      <c r="I1093">
        <v>0</v>
      </c>
      <c r="J1093">
        <v>0</v>
      </c>
      <c r="K1093">
        <v>0</v>
      </c>
      <c r="L1093">
        <v>0</v>
      </c>
      <c r="M1093">
        <v>2</v>
      </c>
      <c r="P1093" s="4"/>
    </row>
    <row r="1094" spans="1:16" x14ac:dyDescent="0.3">
      <c r="A1094" t="s">
        <v>136</v>
      </c>
      <c r="B1094" t="s">
        <v>1067</v>
      </c>
      <c r="C1094">
        <v>2</v>
      </c>
      <c r="D1094">
        <v>1</v>
      </c>
      <c r="E1094">
        <v>1</v>
      </c>
      <c r="F1094">
        <v>1</v>
      </c>
      <c r="G1094">
        <v>0</v>
      </c>
      <c r="H1094">
        <v>0</v>
      </c>
      <c r="I1094">
        <v>0</v>
      </c>
      <c r="J1094">
        <v>0</v>
      </c>
      <c r="K1094">
        <v>0</v>
      </c>
      <c r="L1094">
        <v>0</v>
      </c>
      <c r="M1094">
        <v>5</v>
      </c>
      <c r="P1094" s="3"/>
    </row>
    <row r="1095" spans="1:16" x14ac:dyDescent="0.3">
      <c r="A1095" t="s">
        <v>136</v>
      </c>
      <c r="B1095" t="s">
        <v>1068</v>
      </c>
      <c r="C1095">
        <v>1</v>
      </c>
      <c r="D1095">
        <v>0</v>
      </c>
      <c r="E1095">
        <v>0</v>
      </c>
      <c r="F1095">
        <v>0</v>
      </c>
      <c r="G1095">
        <v>0</v>
      </c>
      <c r="H1095">
        <v>0</v>
      </c>
      <c r="I1095">
        <v>0</v>
      </c>
      <c r="J1095">
        <v>0</v>
      </c>
      <c r="K1095">
        <v>0</v>
      </c>
      <c r="L1095">
        <v>0</v>
      </c>
      <c r="M1095">
        <v>1</v>
      </c>
      <c r="P1095" s="4"/>
    </row>
    <row r="1096" spans="1:16" x14ac:dyDescent="0.3">
      <c r="A1096" t="s">
        <v>136</v>
      </c>
      <c r="B1096" t="s">
        <v>1069</v>
      </c>
      <c r="C1096">
        <v>0</v>
      </c>
      <c r="D1096">
        <v>1</v>
      </c>
      <c r="E1096">
        <v>0</v>
      </c>
      <c r="F1096">
        <v>0</v>
      </c>
      <c r="G1096">
        <v>0</v>
      </c>
      <c r="H1096">
        <v>0</v>
      </c>
      <c r="I1096">
        <v>0</v>
      </c>
      <c r="J1096">
        <v>0</v>
      </c>
      <c r="K1096">
        <v>0</v>
      </c>
      <c r="L1096">
        <v>0</v>
      </c>
      <c r="M1096">
        <v>1</v>
      </c>
      <c r="P1096" s="3"/>
    </row>
    <row r="1097" spans="1:16" x14ac:dyDescent="0.3">
      <c r="A1097" t="s">
        <v>136</v>
      </c>
      <c r="B1097" t="s">
        <v>1070</v>
      </c>
      <c r="C1097">
        <v>0</v>
      </c>
      <c r="D1097">
        <v>1</v>
      </c>
      <c r="E1097">
        <v>0</v>
      </c>
      <c r="F1097">
        <v>0</v>
      </c>
      <c r="G1097">
        <v>0</v>
      </c>
      <c r="H1097">
        <v>0</v>
      </c>
      <c r="I1097">
        <v>0</v>
      </c>
      <c r="J1097">
        <v>0</v>
      </c>
      <c r="K1097">
        <v>0</v>
      </c>
      <c r="L1097">
        <v>0</v>
      </c>
      <c r="M1097">
        <v>1</v>
      </c>
      <c r="P1097" s="4"/>
    </row>
    <row r="1098" spans="1:16" x14ac:dyDescent="0.3">
      <c r="A1098" t="s">
        <v>136</v>
      </c>
      <c r="B1098" t="s">
        <v>1071</v>
      </c>
      <c r="C1098">
        <v>0</v>
      </c>
      <c r="D1098">
        <v>0</v>
      </c>
      <c r="E1098">
        <v>2</v>
      </c>
      <c r="F1098">
        <v>0</v>
      </c>
      <c r="G1098">
        <v>0</v>
      </c>
      <c r="H1098">
        <v>0</v>
      </c>
      <c r="I1098">
        <v>0</v>
      </c>
      <c r="J1098">
        <v>0</v>
      </c>
      <c r="K1098">
        <v>0</v>
      </c>
      <c r="L1098">
        <v>0</v>
      </c>
      <c r="M1098">
        <v>2</v>
      </c>
      <c r="P1098" s="3"/>
    </row>
    <row r="1099" spans="1:16" x14ac:dyDescent="0.3">
      <c r="A1099" t="s">
        <v>136</v>
      </c>
      <c r="B1099" t="s">
        <v>1072</v>
      </c>
      <c r="C1099">
        <v>6</v>
      </c>
      <c r="D1099">
        <v>11</v>
      </c>
      <c r="E1099">
        <v>8</v>
      </c>
      <c r="F1099">
        <v>5</v>
      </c>
      <c r="G1099">
        <v>0</v>
      </c>
      <c r="H1099">
        <v>0</v>
      </c>
      <c r="I1099">
        <v>0</v>
      </c>
      <c r="J1099">
        <v>0</v>
      </c>
      <c r="K1099">
        <v>0</v>
      </c>
      <c r="L1099">
        <v>0</v>
      </c>
      <c r="M1099">
        <v>30</v>
      </c>
      <c r="P1099" s="4"/>
    </row>
    <row r="1100" spans="1:16" x14ac:dyDescent="0.3">
      <c r="A1100" t="s">
        <v>136</v>
      </c>
      <c r="B1100" t="s">
        <v>1073</v>
      </c>
      <c r="C1100">
        <v>0</v>
      </c>
      <c r="D1100">
        <v>1</v>
      </c>
      <c r="E1100">
        <v>0</v>
      </c>
      <c r="F1100">
        <v>0</v>
      </c>
      <c r="G1100">
        <v>0</v>
      </c>
      <c r="H1100">
        <v>0</v>
      </c>
      <c r="I1100">
        <v>0</v>
      </c>
      <c r="J1100">
        <v>0</v>
      </c>
      <c r="K1100">
        <v>0</v>
      </c>
      <c r="L1100">
        <v>0</v>
      </c>
      <c r="M1100">
        <v>1</v>
      </c>
      <c r="P1100" s="3"/>
    </row>
    <row r="1101" spans="1:16" x14ac:dyDescent="0.3">
      <c r="A1101" t="s">
        <v>136</v>
      </c>
      <c r="B1101" t="s">
        <v>1074</v>
      </c>
      <c r="C1101">
        <v>0</v>
      </c>
      <c r="D1101">
        <v>0</v>
      </c>
      <c r="E1101">
        <v>2</v>
      </c>
      <c r="F1101">
        <v>0</v>
      </c>
      <c r="G1101">
        <v>0</v>
      </c>
      <c r="H1101">
        <v>0</v>
      </c>
      <c r="I1101">
        <v>0</v>
      </c>
      <c r="J1101">
        <v>0</v>
      </c>
      <c r="K1101">
        <v>0</v>
      </c>
      <c r="L1101">
        <v>0</v>
      </c>
      <c r="M1101">
        <v>2</v>
      </c>
      <c r="P1101" s="4"/>
    </row>
    <row r="1102" spans="1:16" x14ac:dyDescent="0.3">
      <c r="A1102" t="s">
        <v>131</v>
      </c>
      <c r="B1102" t="s">
        <v>1075</v>
      </c>
      <c r="C1102">
        <v>0</v>
      </c>
      <c r="D1102">
        <v>0</v>
      </c>
      <c r="E1102">
        <v>131</v>
      </c>
      <c r="F1102">
        <v>238</v>
      </c>
      <c r="G1102">
        <v>269</v>
      </c>
      <c r="H1102">
        <v>170</v>
      </c>
      <c r="I1102">
        <v>214</v>
      </c>
      <c r="J1102">
        <v>264</v>
      </c>
      <c r="K1102">
        <v>645</v>
      </c>
      <c r="L1102">
        <v>395</v>
      </c>
      <c r="M1102">
        <v>2326</v>
      </c>
      <c r="P1102" s="3"/>
    </row>
    <row r="1103" spans="1:16" x14ac:dyDescent="0.3">
      <c r="A1103" t="s">
        <v>131</v>
      </c>
      <c r="B1103" t="s">
        <v>1076</v>
      </c>
      <c r="C1103">
        <v>35</v>
      </c>
      <c r="D1103">
        <v>469</v>
      </c>
      <c r="E1103">
        <v>127</v>
      </c>
      <c r="F1103">
        <v>26</v>
      </c>
      <c r="G1103">
        <v>0</v>
      </c>
      <c r="H1103">
        <v>0</v>
      </c>
      <c r="I1103">
        <v>0</v>
      </c>
      <c r="J1103">
        <v>4</v>
      </c>
      <c r="K1103">
        <v>3</v>
      </c>
      <c r="L1103">
        <v>0</v>
      </c>
      <c r="M1103">
        <v>664</v>
      </c>
      <c r="P1103" s="4"/>
    </row>
    <row r="1104" spans="1:16" x14ac:dyDescent="0.3">
      <c r="A1104" t="s">
        <v>131</v>
      </c>
      <c r="B1104" t="s">
        <v>1077</v>
      </c>
      <c r="C1104">
        <v>0</v>
      </c>
      <c r="D1104">
        <v>23</v>
      </c>
      <c r="E1104">
        <v>17</v>
      </c>
      <c r="F1104">
        <v>2</v>
      </c>
      <c r="G1104">
        <v>0</v>
      </c>
      <c r="H1104">
        <v>0</v>
      </c>
      <c r="I1104">
        <v>0</v>
      </c>
      <c r="J1104">
        <v>0</v>
      </c>
      <c r="K1104">
        <v>0</v>
      </c>
      <c r="L1104">
        <v>0</v>
      </c>
      <c r="M1104">
        <v>42</v>
      </c>
      <c r="P1104" s="3"/>
    </row>
    <row r="1105" spans="1:16" x14ac:dyDescent="0.3">
      <c r="A1105" t="s">
        <v>131</v>
      </c>
      <c r="B1105" t="s">
        <v>1078</v>
      </c>
      <c r="C1105">
        <v>0</v>
      </c>
      <c r="D1105">
        <v>0</v>
      </c>
      <c r="E1105">
        <v>0</v>
      </c>
      <c r="F1105">
        <v>1</v>
      </c>
      <c r="G1105">
        <v>0</v>
      </c>
      <c r="H1105">
        <v>0</v>
      </c>
      <c r="I1105">
        <v>0</v>
      </c>
      <c r="J1105">
        <v>0</v>
      </c>
      <c r="K1105">
        <v>0</v>
      </c>
      <c r="L1105">
        <v>0</v>
      </c>
      <c r="M1105">
        <v>1</v>
      </c>
      <c r="P1105" s="4"/>
    </row>
    <row r="1106" spans="1:16" x14ac:dyDescent="0.3">
      <c r="A1106" t="s">
        <v>136</v>
      </c>
      <c r="B1106" t="s">
        <v>1079</v>
      </c>
      <c r="C1106">
        <v>0</v>
      </c>
      <c r="D1106">
        <v>0</v>
      </c>
      <c r="E1106">
        <v>3</v>
      </c>
      <c r="F1106">
        <v>0</v>
      </c>
      <c r="G1106">
        <v>0</v>
      </c>
      <c r="H1106">
        <v>0</v>
      </c>
      <c r="I1106">
        <v>0</v>
      </c>
      <c r="J1106">
        <v>0</v>
      </c>
      <c r="K1106">
        <v>0</v>
      </c>
      <c r="L1106">
        <v>0</v>
      </c>
      <c r="M1106">
        <v>3</v>
      </c>
      <c r="P1106" s="3"/>
    </row>
    <row r="1107" spans="1:16" x14ac:dyDescent="0.3">
      <c r="A1107" t="s">
        <v>131</v>
      </c>
      <c r="B1107" t="s">
        <v>1080</v>
      </c>
      <c r="C1107">
        <v>0</v>
      </c>
      <c r="D1107">
        <v>0</v>
      </c>
      <c r="E1107">
        <v>0</v>
      </c>
      <c r="F1107">
        <v>0</v>
      </c>
      <c r="G1107">
        <v>5</v>
      </c>
      <c r="H1107">
        <v>4</v>
      </c>
      <c r="I1107">
        <v>2</v>
      </c>
      <c r="J1107">
        <v>8</v>
      </c>
      <c r="K1107">
        <v>0</v>
      </c>
      <c r="L1107">
        <v>0</v>
      </c>
      <c r="M1107">
        <v>19</v>
      </c>
      <c r="P1107" s="4"/>
    </row>
    <row r="1108" spans="1:16" x14ac:dyDescent="0.3">
      <c r="A1108" t="s">
        <v>136</v>
      </c>
      <c r="B1108" t="s">
        <v>1081</v>
      </c>
      <c r="C1108">
        <v>0</v>
      </c>
      <c r="D1108">
        <v>2</v>
      </c>
      <c r="E1108">
        <v>2</v>
      </c>
      <c r="F1108">
        <v>0</v>
      </c>
      <c r="G1108">
        <v>0</v>
      </c>
      <c r="H1108">
        <v>0</v>
      </c>
      <c r="I1108">
        <v>0</v>
      </c>
      <c r="J1108">
        <v>0</v>
      </c>
      <c r="K1108">
        <v>0</v>
      </c>
      <c r="L1108">
        <v>0</v>
      </c>
      <c r="M1108">
        <v>4</v>
      </c>
      <c r="P1108" s="3"/>
    </row>
    <row r="1109" spans="1:16" x14ac:dyDescent="0.3">
      <c r="A1109" t="s">
        <v>136</v>
      </c>
      <c r="B1109" t="s">
        <v>1082</v>
      </c>
      <c r="C1109">
        <v>1</v>
      </c>
      <c r="D1109">
        <v>0</v>
      </c>
      <c r="E1109">
        <v>0</v>
      </c>
      <c r="F1109">
        <v>1</v>
      </c>
      <c r="G1109">
        <v>0</v>
      </c>
      <c r="H1109">
        <v>0</v>
      </c>
      <c r="I1109">
        <v>0</v>
      </c>
      <c r="J1109">
        <v>0</v>
      </c>
      <c r="K1109">
        <v>0</v>
      </c>
      <c r="L1109">
        <v>0</v>
      </c>
      <c r="M1109">
        <v>2</v>
      </c>
      <c r="P1109" s="4"/>
    </row>
    <row r="1110" spans="1:16" x14ac:dyDescent="0.3">
      <c r="A1110" t="s">
        <v>131</v>
      </c>
      <c r="B1110" t="s">
        <v>1083</v>
      </c>
      <c r="C1110">
        <v>0</v>
      </c>
      <c r="D1110">
        <v>0</v>
      </c>
      <c r="E1110">
        <v>0</v>
      </c>
      <c r="F1110">
        <v>40</v>
      </c>
      <c r="G1110">
        <v>17</v>
      </c>
      <c r="H1110">
        <v>158</v>
      </c>
      <c r="I1110">
        <v>1318</v>
      </c>
      <c r="J1110">
        <v>2003</v>
      </c>
      <c r="K1110">
        <v>2726</v>
      </c>
      <c r="L1110">
        <v>1240</v>
      </c>
      <c r="M1110">
        <v>7502</v>
      </c>
      <c r="P1110" s="3"/>
    </row>
    <row r="1111" spans="1:16" x14ac:dyDescent="0.3">
      <c r="A1111" t="s">
        <v>131</v>
      </c>
      <c r="B1111" t="s">
        <v>1084</v>
      </c>
      <c r="C1111">
        <v>0</v>
      </c>
      <c r="D1111">
        <v>0</v>
      </c>
      <c r="E1111">
        <v>0</v>
      </c>
      <c r="F1111">
        <v>0</v>
      </c>
      <c r="G1111">
        <v>6</v>
      </c>
      <c r="H1111">
        <v>4</v>
      </c>
      <c r="I1111">
        <v>0</v>
      </c>
      <c r="J1111">
        <v>0</v>
      </c>
      <c r="K1111">
        <v>0</v>
      </c>
      <c r="L1111">
        <v>0</v>
      </c>
      <c r="M1111">
        <v>10</v>
      </c>
      <c r="P1111" s="4"/>
    </row>
    <row r="1112" spans="1:16" x14ac:dyDescent="0.3">
      <c r="A1112" t="s">
        <v>131</v>
      </c>
      <c r="B1112" t="s">
        <v>1085</v>
      </c>
      <c r="C1112">
        <v>0</v>
      </c>
      <c r="D1112">
        <v>0</v>
      </c>
      <c r="E1112">
        <v>0</v>
      </c>
      <c r="F1112">
        <v>0</v>
      </c>
      <c r="G1112">
        <v>0</v>
      </c>
      <c r="H1112">
        <v>0</v>
      </c>
      <c r="I1112">
        <v>0</v>
      </c>
      <c r="J1112">
        <v>0</v>
      </c>
      <c r="K1112">
        <v>6</v>
      </c>
      <c r="L1112">
        <v>13</v>
      </c>
      <c r="M1112">
        <v>19</v>
      </c>
      <c r="P1112" s="3"/>
    </row>
    <row r="1113" spans="1:16" x14ac:dyDescent="0.3">
      <c r="A1113" t="s">
        <v>131</v>
      </c>
      <c r="B1113" t="s">
        <v>1086</v>
      </c>
      <c r="C1113">
        <v>0</v>
      </c>
      <c r="D1113">
        <v>0</v>
      </c>
      <c r="E1113">
        <v>13</v>
      </c>
      <c r="F1113">
        <v>28</v>
      </c>
      <c r="G1113">
        <v>21</v>
      </c>
      <c r="H1113">
        <v>0</v>
      </c>
      <c r="I1113">
        <v>0</v>
      </c>
      <c r="J1113">
        <v>0</v>
      </c>
      <c r="K1113">
        <v>0</v>
      </c>
      <c r="L1113">
        <v>0</v>
      </c>
      <c r="M1113">
        <v>62</v>
      </c>
      <c r="P1113" s="4"/>
    </row>
    <row r="1114" spans="1:16" x14ac:dyDescent="0.3">
      <c r="A1114" t="s">
        <v>136</v>
      </c>
      <c r="B1114" t="s">
        <v>1087</v>
      </c>
      <c r="C1114">
        <v>0</v>
      </c>
      <c r="D1114">
        <v>0</v>
      </c>
      <c r="E1114">
        <v>0</v>
      </c>
      <c r="F1114">
        <v>2</v>
      </c>
      <c r="G1114">
        <v>0</v>
      </c>
      <c r="H1114">
        <v>0</v>
      </c>
      <c r="I1114">
        <v>0</v>
      </c>
      <c r="J1114">
        <v>0</v>
      </c>
      <c r="K1114">
        <v>0</v>
      </c>
      <c r="L1114">
        <v>0</v>
      </c>
      <c r="M1114">
        <v>2</v>
      </c>
      <c r="P1114" s="3"/>
    </row>
    <row r="1115" spans="1:16" x14ac:dyDescent="0.3">
      <c r="A1115" t="s">
        <v>133</v>
      </c>
      <c r="B1115" t="s">
        <v>1088</v>
      </c>
      <c r="C1115">
        <v>0</v>
      </c>
      <c r="D1115">
        <v>0</v>
      </c>
      <c r="E1115">
        <v>0</v>
      </c>
      <c r="F1115">
        <v>0</v>
      </c>
      <c r="G1115">
        <v>0</v>
      </c>
      <c r="H1115">
        <v>0</v>
      </c>
      <c r="I1115">
        <v>0</v>
      </c>
      <c r="J1115">
        <v>0</v>
      </c>
      <c r="K1115">
        <v>65</v>
      </c>
      <c r="L1115">
        <v>568</v>
      </c>
      <c r="M1115">
        <v>633</v>
      </c>
      <c r="P1115" s="4"/>
    </row>
    <row r="1116" spans="1:16" x14ac:dyDescent="0.3">
      <c r="A1116" t="s">
        <v>136</v>
      </c>
      <c r="B1116" t="s">
        <v>1089</v>
      </c>
      <c r="C1116">
        <v>0</v>
      </c>
      <c r="D1116">
        <v>1</v>
      </c>
      <c r="E1116">
        <v>0</v>
      </c>
      <c r="F1116">
        <v>0</v>
      </c>
      <c r="G1116">
        <v>0</v>
      </c>
      <c r="H1116">
        <v>0</v>
      </c>
      <c r="I1116">
        <v>0</v>
      </c>
      <c r="J1116">
        <v>0</v>
      </c>
      <c r="K1116">
        <v>0</v>
      </c>
      <c r="L1116">
        <v>0</v>
      </c>
      <c r="M1116">
        <v>1</v>
      </c>
      <c r="P1116" s="3"/>
    </row>
    <row r="1117" spans="1:16" x14ac:dyDescent="0.3">
      <c r="A1117" t="s">
        <v>131</v>
      </c>
      <c r="B1117" t="s">
        <v>1090</v>
      </c>
      <c r="C1117">
        <v>0</v>
      </c>
      <c r="D1117">
        <v>0</v>
      </c>
      <c r="E1117">
        <v>0</v>
      </c>
      <c r="F1117">
        <v>0</v>
      </c>
      <c r="G1117">
        <v>0</v>
      </c>
      <c r="H1117">
        <v>0</v>
      </c>
      <c r="I1117">
        <v>0</v>
      </c>
      <c r="J1117">
        <v>0</v>
      </c>
      <c r="K1117">
        <v>359</v>
      </c>
      <c r="L1117">
        <v>322</v>
      </c>
      <c r="M1117">
        <v>681</v>
      </c>
      <c r="P1117" s="4"/>
    </row>
    <row r="1118" spans="1:16" x14ac:dyDescent="0.3">
      <c r="A1118" t="s">
        <v>131</v>
      </c>
      <c r="B1118" t="s">
        <v>1091</v>
      </c>
      <c r="C1118">
        <v>0</v>
      </c>
      <c r="D1118">
        <v>0</v>
      </c>
      <c r="E1118">
        <v>0</v>
      </c>
      <c r="F1118">
        <v>96</v>
      </c>
      <c r="G1118">
        <v>97</v>
      </c>
      <c r="H1118">
        <v>42</v>
      </c>
      <c r="I1118">
        <v>46</v>
      </c>
      <c r="J1118">
        <v>38</v>
      </c>
      <c r="K1118">
        <v>136</v>
      </c>
      <c r="L1118">
        <v>63</v>
      </c>
      <c r="M1118">
        <v>518</v>
      </c>
      <c r="P1118" s="3"/>
    </row>
    <row r="1119" spans="1:16" x14ac:dyDescent="0.3">
      <c r="A1119" t="s">
        <v>131</v>
      </c>
      <c r="B1119" t="s">
        <v>1092</v>
      </c>
      <c r="C1119">
        <v>0</v>
      </c>
      <c r="D1119">
        <v>0</v>
      </c>
      <c r="E1119">
        <v>0</v>
      </c>
      <c r="F1119">
        <v>24</v>
      </c>
      <c r="G1119">
        <v>45</v>
      </c>
      <c r="H1119">
        <v>44</v>
      </c>
      <c r="I1119">
        <v>24</v>
      </c>
      <c r="J1119">
        <v>5</v>
      </c>
      <c r="K1119">
        <v>27</v>
      </c>
      <c r="L1119">
        <v>53</v>
      </c>
      <c r="M1119">
        <v>222</v>
      </c>
      <c r="P1119" s="4"/>
    </row>
    <row r="1120" spans="1:16" x14ac:dyDescent="0.3">
      <c r="A1120" t="s">
        <v>131</v>
      </c>
      <c r="B1120" t="s">
        <v>1093</v>
      </c>
      <c r="C1120">
        <v>0</v>
      </c>
      <c r="D1120">
        <v>0</v>
      </c>
      <c r="E1120">
        <v>0</v>
      </c>
      <c r="F1120">
        <v>0</v>
      </c>
      <c r="G1120">
        <v>0</v>
      </c>
      <c r="H1120">
        <v>15</v>
      </c>
      <c r="I1120">
        <v>1</v>
      </c>
      <c r="J1120">
        <v>0</v>
      </c>
      <c r="K1120">
        <v>5</v>
      </c>
      <c r="L1120">
        <v>2</v>
      </c>
      <c r="M1120">
        <v>23</v>
      </c>
      <c r="P1120" s="3"/>
    </row>
    <row r="1121" spans="1:16" x14ac:dyDescent="0.3">
      <c r="A1121" t="s">
        <v>136</v>
      </c>
      <c r="B1121" t="s">
        <v>1094</v>
      </c>
      <c r="C1121">
        <v>0</v>
      </c>
      <c r="D1121">
        <v>1</v>
      </c>
      <c r="E1121">
        <v>0</v>
      </c>
      <c r="F1121">
        <v>0</v>
      </c>
      <c r="G1121">
        <v>0</v>
      </c>
      <c r="H1121">
        <v>0</v>
      </c>
      <c r="I1121">
        <v>0</v>
      </c>
      <c r="J1121">
        <v>0</v>
      </c>
      <c r="K1121">
        <v>0</v>
      </c>
      <c r="L1121">
        <v>0</v>
      </c>
      <c r="M1121">
        <v>1</v>
      </c>
      <c r="P1121" s="4"/>
    </row>
    <row r="1122" spans="1:16" x14ac:dyDescent="0.3">
      <c r="A1122" t="s">
        <v>136</v>
      </c>
      <c r="B1122" t="s">
        <v>1095</v>
      </c>
      <c r="C1122">
        <v>0</v>
      </c>
      <c r="D1122">
        <v>1</v>
      </c>
      <c r="E1122">
        <v>0</v>
      </c>
      <c r="F1122">
        <v>0</v>
      </c>
      <c r="G1122">
        <v>0</v>
      </c>
      <c r="H1122">
        <v>0</v>
      </c>
      <c r="I1122">
        <v>0</v>
      </c>
      <c r="J1122">
        <v>0</v>
      </c>
      <c r="K1122">
        <v>0</v>
      </c>
      <c r="L1122">
        <v>0</v>
      </c>
      <c r="M1122">
        <v>1</v>
      </c>
      <c r="P1122" s="3"/>
    </row>
    <row r="1123" spans="1:16" x14ac:dyDescent="0.3">
      <c r="A1123" t="s">
        <v>131</v>
      </c>
      <c r="B1123" t="s">
        <v>1096</v>
      </c>
      <c r="C1123">
        <v>0</v>
      </c>
      <c r="D1123">
        <v>24</v>
      </c>
      <c r="E1123">
        <v>285</v>
      </c>
      <c r="F1123">
        <v>331</v>
      </c>
      <c r="G1123">
        <v>188</v>
      </c>
      <c r="H1123">
        <v>42</v>
      </c>
      <c r="I1123">
        <v>47</v>
      </c>
      <c r="J1123">
        <v>98</v>
      </c>
      <c r="K1123">
        <v>24</v>
      </c>
      <c r="L1123">
        <v>8</v>
      </c>
      <c r="M1123">
        <v>1047</v>
      </c>
      <c r="P1123" s="4"/>
    </row>
    <row r="1124" spans="1:16" x14ac:dyDescent="0.3">
      <c r="A1124" t="s">
        <v>131</v>
      </c>
      <c r="B1124" t="s">
        <v>1097</v>
      </c>
      <c r="C1124">
        <v>0</v>
      </c>
      <c r="D1124">
        <v>0</v>
      </c>
      <c r="E1124">
        <v>0</v>
      </c>
      <c r="F1124">
        <v>0</v>
      </c>
      <c r="G1124">
        <v>63</v>
      </c>
      <c r="H1124">
        <v>8</v>
      </c>
      <c r="I1124">
        <v>0</v>
      </c>
      <c r="J1124">
        <v>4</v>
      </c>
      <c r="K1124">
        <v>12</v>
      </c>
      <c r="L1124">
        <v>33</v>
      </c>
      <c r="M1124">
        <v>120</v>
      </c>
      <c r="P1124" s="3"/>
    </row>
    <row r="1125" spans="1:16" x14ac:dyDescent="0.3">
      <c r="A1125" t="s">
        <v>131</v>
      </c>
      <c r="B1125" t="s">
        <v>1098</v>
      </c>
      <c r="C1125">
        <v>0</v>
      </c>
      <c r="D1125">
        <v>0</v>
      </c>
      <c r="E1125">
        <v>20</v>
      </c>
      <c r="F1125">
        <v>0</v>
      </c>
      <c r="G1125">
        <v>0</v>
      </c>
      <c r="H1125">
        <v>0</v>
      </c>
      <c r="I1125">
        <v>0</v>
      </c>
      <c r="J1125">
        <v>5</v>
      </c>
      <c r="K1125">
        <v>2</v>
      </c>
      <c r="L1125">
        <v>0</v>
      </c>
      <c r="M1125">
        <v>27</v>
      </c>
      <c r="P1125" s="4"/>
    </row>
    <row r="1126" spans="1:16" x14ac:dyDescent="0.3">
      <c r="A1126" t="s">
        <v>131</v>
      </c>
      <c r="B1126" t="s">
        <v>1099</v>
      </c>
      <c r="C1126">
        <v>0</v>
      </c>
      <c r="D1126">
        <v>0</v>
      </c>
      <c r="E1126">
        <v>203</v>
      </c>
      <c r="F1126">
        <v>770</v>
      </c>
      <c r="G1126">
        <v>1354</v>
      </c>
      <c r="H1126">
        <v>854</v>
      </c>
      <c r="I1126">
        <v>2236</v>
      </c>
      <c r="J1126">
        <v>6308</v>
      </c>
      <c r="K1126">
        <v>10078</v>
      </c>
      <c r="L1126">
        <v>5687</v>
      </c>
      <c r="M1126">
        <v>27490</v>
      </c>
      <c r="P1126" s="3"/>
    </row>
    <row r="1127" spans="1:16" x14ac:dyDescent="0.3">
      <c r="A1127" t="s">
        <v>136</v>
      </c>
      <c r="B1127" t="s">
        <v>1099</v>
      </c>
      <c r="C1127">
        <v>0</v>
      </c>
      <c r="D1127">
        <v>0</v>
      </c>
      <c r="E1127">
        <v>0</v>
      </c>
      <c r="F1127">
        <v>0</v>
      </c>
      <c r="G1127">
        <v>3</v>
      </c>
      <c r="H1127">
        <v>0</v>
      </c>
      <c r="I1127">
        <v>0</v>
      </c>
      <c r="J1127">
        <v>0</v>
      </c>
      <c r="K1127">
        <v>0</v>
      </c>
      <c r="L1127">
        <v>1</v>
      </c>
      <c r="M1127">
        <v>4</v>
      </c>
      <c r="P1127" s="4"/>
    </row>
    <row r="1128" spans="1:16" x14ac:dyDescent="0.3">
      <c r="A1128" t="s">
        <v>131</v>
      </c>
      <c r="B1128" t="s">
        <v>1100</v>
      </c>
      <c r="C1128">
        <v>0</v>
      </c>
      <c r="D1128">
        <v>301</v>
      </c>
      <c r="E1128">
        <v>344</v>
      </c>
      <c r="F1128">
        <v>285</v>
      </c>
      <c r="G1128">
        <v>447</v>
      </c>
      <c r="H1128">
        <v>393</v>
      </c>
      <c r="I1128">
        <v>520</v>
      </c>
      <c r="J1128">
        <v>90</v>
      </c>
      <c r="K1128">
        <v>40</v>
      </c>
      <c r="L1128">
        <v>14</v>
      </c>
      <c r="M1128">
        <v>2434</v>
      </c>
      <c r="P1128" s="3"/>
    </row>
    <row r="1129" spans="1:16" x14ac:dyDescent="0.3">
      <c r="A1129" t="s">
        <v>131</v>
      </c>
      <c r="B1129" t="s">
        <v>1101</v>
      </c>
      <c r="C1129">
        <v>0</v>
      </c>
      <c r="D1129">
        <v>0</v>
      </c>
      <c r="E1129">
        <v>0</v>
      </c>
      <c r="F1129">
        <v>0</v>
      </c>
      <c r="G1129">
        <v>0</v>
      </c>
      <c r="H1129">
        <v>0</v>
      </c>
      <c r="I1129">
        <v>0</v>
      </c>
      <c r="J1129">
        <v>0</v>
      </c>
      <c r="K1129">
        <v>1</v>
      </c>
      <c r="L1129">
        <v>143</v>
      </c>
      <c r="M1129">
        <v>144</v>
      </c>
      <c r="P1129" s="4"/>
    </row>
    <row r="1130" spans="1:16" x14ac:dyDescent="0.3">
      <c r="A1130" t="s">
        <v>133</v>
      </c>
      <c r="B1130" t="s">
        <v>1102</v>
      </c>
      <c r="C1130">
        <v>0</v>
      </c>
      <c r="D1130">
        <v>0</v>
      </c>
      <c r="E1130">
        <v>0</v>
      </c>
      <c r="F1130">
        <v>0</v>
      </c>
      <c r="G1130">
        <v>0</v>
      </c>
      <c r="H1130">
        <v>0</v>
      </c>
      <c r="I1130">
        <v>0</v>
      </c>
      <c r="J1130">
        <v>0</v>
      </c>
      <c r="K1130">
        <v>15</v>
      </c>
      <c r="L1130">
        <v>2</v>
      </c>
      <c r="M1130">
        <v>17</v>
      </c>
      <c r="P1130" s="3"/>
    </row>
    <row r="1131" spans="1:16" x14ac:dyDescent="0.3">
      <c r="A1131" t="s">
        <v>131</v>
      </c>
      <c r="B1131" t="s">
        <v>1103</v>
      </c>
      <c r="C1131">
        <v>0</v>
      </c>
      <c r="D1131">
        <v>0</v>
      </c>
      <c r="E1131">
        <v>4</v>
      </c>
      <c r="F1131">
        <v>23</v>
      </c>
      <c r="G1131">
        <v>25</v>
      </c>
      <c r="H1131">
        <v>31</v>
      </c>
      <c r="I1131">
        <v>38</v>
      </c>
      <c r="J1131">
        <v>48</v>
      </c>
      <c r="K1131">
        <v>47</v>
      </c>
      <c r="L1131">
        <v>44</v>
      </c>
      <c r="M1131">
        <v>260</v>
      </c>
      <c r="P1131" s="4"/>
    </row>
    <row r="1132" spans="1:16" x14ac:dyDescent="0.3">
      <c r="A1132" t="s">
        <v>131</v>
      </c>
      <c r="B1132" t="s">
        <v>1104</v>
      </c>
      <c r="C1132">
        <v>0</v>
      </c>
      <c r="D1132">
        <v>0</v>
      </c>
      <c r="E1132">
        <v>0</v>
      </c>
      <c r="F1132">
        <v>0</v>
      </c>
      <c r="G1132">
        <v>0</v>
      </c>
      <c r="H1132">
        <v>0</v>
      </c>
      <c r="I1132">
        <v>0</v>
      </c>
      <c r="J1132">
        <v>0</v>
      </c>
      <c r="K1132">
        <v>2</v>
      </c>
      <c r="L1132">
        <v>0</v>
      </c>
      <c r="M1132">
        <v>2</v>
      </c>
      <c r="P1132" s="3"/>
    </row>
    <row r="1133" spans="1:16" x14ac:dyDescent="0.3">
      <c r="A1133" t="s">
        <v>131</v>
      </c>
      <c r="B1133" t="s">
        <v>1105</v>
      </c>
      <c r="C1133">
        <v>0</v>
      </c>
      <c r="D1133">
        <v>0</v>
      </c>
      <c r="E1133">
        <v>0</v>
      </c>
      <c r="F1133">
        <v>0</v>
      </c>
      <c r="G1133">
        <v>0</v>
      </c>
      <c r="H1133">
        <v>0</v>
      </c>
      <c r="I1133">
        <v>0</v>
      </c>
      <c r="J1133">
        <v>0</v>
      </c>
      <c r="K1133">
        <v>4</v>
      </c>
      <c r="L1133">
        <v>0</v>
      </c>
      <c r="M1133">
        <v>4</v>
      </c>
      <c r="P1133" s="4"/>
    </row>
    <row r="1134" spans="1:16" x14ac:dyDescent="0.3">
      <c r="A1134" t="s">
        <v>131</v>
      </c>
      <c r="B1134" t="s">
        <v>1106</v>
      </c>
      <c r="C1134">
        <v>0</v>
      </c>
      <c r="D1134">
        <v>1</v>
      </c>
      <c r="E1134">
        <v>17</v>
      </c>
      <c r="F1134">
        <v>0</v>
      </c>
      <c r="G1134">
        <v>0</v>
      </c>
      <c r="H1134">
        <v>0</v>
      </c>
      <c r="I1134">
        <v>0</v>
      </c>
      <c r="J1134">
        <v>0</v>
      </c>
      <c r="K1134">
        <v>0</v>
      </c>
      <c r="L1134">
        <v>0</v>
      </c>
      <c r="M1134">
        <v>18</v>
      </c>
      <c r="P1134" s="3"/>
    </row>
    <row r="1135" spans="1:16" x14ac:dyDescent="0.3">
      <c r="A1135" t="s">
        <v>136</v>
      </c>
      <c r="B1135" t="s">
        <v>1106</v>
      </c>
      <c r="C1135">
        <v>0</v>
      </c>
      <c r="D1135">
        <v>4</v>
      </c>
      <c r="E1135">
        <v>0</v>
      </c>
      <c r="F1135">
        <v>0</v>
      </c>
      <c r="G1135">
        <v>0</v>
      </c>
      <c r="H1135">
        <v>0</v>
      </c>
      <c r="I1135">
        <v>0</v>
      </c>
      <c r="J1135">
        <v>0</v>
      </c>
      <c r="K1135">
        <v>0</v>
      </c>
      <c r="L1135">
        <v>0</v>
      </c>
      <c r="M1135">
        <v>4</v>
      </c>
      <c r="P1135" s="4"/>
    </row>
    <row r="1136" spans="1:16" x14ac:dyDescent="0.3">
      <c r="A1136" t="s">
        <v>181</v>
      </c>
      <c r="B1136" t="s">
        <v>1106</v>
      </c>
      <c r="C1136">
        <v>1</v>
      </c>
      <c r="D1136">
        <v>0</v>
      </c>
      <c r="E1136">
        <v>0</v>
      </c>
      <c r="F1136">
        <v>0</v>
      </c>
      <c r="G1136">
        <v>0</v>
      </c>
      <c r="H1136">
        <v>0</v>
      </c>
      <c r="I1136">
        <v>0</v>
      </c>
      <c r="J1136">
        <v>0</v>
      </c>
      <c r="K1136">
        <v>0</v>
      </c>
      <c r="L1136">
        <v>0</v>
      </c>
      <c r="M1136">
        <v>1</v>
      </c>
      <c r="P1136" s="3"/>
    </row>
    <row r="1137" spans="1:16" x14ac:dyDescent="0.3">
      <c r="A1137" t="s">
        <v>131</v>
      </c>
      <c r="B1137" t="s">
        <v>1107</v>
      </c>
      <c r="C1137">
        <v>0</v>
      </c>
      <c r="D1137">
        <v>0</v>
      </c>
      <c r="E1137">
        <v>0</v>
      </c>
      <c r="F1137">
        <v>61</v>
      </c>
      <c r="G1137">
        <v>121</v>
      </c>
      <c r="H1137">
        <v>28</v>
      </c>
      <c r="I1137">
        <v>44</v>
      </c>
      <c r="J1137">
        <v>23</v>
      </c>
      <c r="K1137">
        <v>187</v>
      </c>
      <c r="L1137">
        <v>244</v>
      </c>
      <c r="M1137">
        <v>708</v>
      </c>
      <c r="P1137" s="4"/>
    </row>
    <row r="1138" spans="1:16" x14ac:dyDescent="0.3">
      <c r="A1138" t="s">
        <v>133</v>
      </c>
      <c r="B1138" t="s">
        <v>1108</v>
      </c>
      <c r="C1138">
        <v>0</v>
      </c>
      <c r="D1138">
        <v>0</v>
      </c>
      <c r="E1138">
        <v>0</v>
      </c>
      <c r="F1138">
        <v>0</v>
      </c>
      <c r="G1138">
        <v>0</v>
      </c>
      <c r="H1138">
        <v>0</v>
      </c>
      <c r="I1138">
        <v>0</v>
      </c>
      <c r="J1138">
        <v>0</v>
      </c>
      <c r="K1138">
        <v>132</v>
      </c>
      <c r="L1138">
        <v>232</v>
      </c>
      <c r="M1138">
        <v>364</v>
      </c>
      <c r="P1138" s="3"/>
    </row>
    <row r="1139" spans="1:16" x14ac:dyDescent="0.3">
      <c r="A1139" t="s">
        <v>131</v>
      </c>
      <c r="B1139" t="s">
        <v>1109</v>
      </c>
      <c r="C1139">
        <v>0</v>
      </c>
      <c r="D1139">
        <v>41</v>
      </c>
      <c r="E1139">
        <v>109</v>
      </c>
      <c r="F1139">
        <v>380</v>
      </c>
      <c r="G1139">
        <v>320</v>
      </c>
      <c r="H1139">
        <v>41</v>
      </c>
      <c r="I1139">
        <v>74</v>
      </c>
      <c r="J1139">
        <v>173</v>
      </c>
      <c r="K1139">
        <v>64</v>
      </c>
      <c r="L1139">
        <v>22</v>
      </c>
      <c r="M1139">
        <v>1224</v>
      </c>
      <c r="P1139" s="4"/>
    </row>
    <row r="1140" spans="1:16" x14ac:dyDescent="0.3">
      <c r="A1140" t="s">
        <v>136</v>
      </c>
      <c r="B1140" t="s">
        <v>1109</v>
      </c>
      <c r="C1140">
        <v>0</v>
      </c>
      <c r="D1140">
        <v>0</v>
      </c>
      <c r="E1140">
        <v>1</v>
      </c>
      <c r="F1140">
        <v>0</v>
      </c>
      <c r="G1140">
        <v>0</v>
      </c>
      <c r="H1140">
        <v>0</v>
      </c>
      <c r="I1140">
        <v>0</v>
      </c>
      <c r="J1140">
        <v>0</v>
      </c>
      <c r="K1140">
        <v>0</v>
      </c>
      <c r="L1140">
        <v>0</v>
      </c>
      <c r="M1140">
        <v>1</v>
      </c>
      <c r="P1140" s="3"/>
    </row>
    <row r="1141" spans="1:16" x14ac:dyDescent="0.3">
      <c r="A1141" t="s">
        <v>131</v>
      </c>
      <c r="B1141" t="s">
        <v>1110</v>
      </c>
      <c r="C1141">
        <v>44</v>
      </c>
      <c r="D1141">
        <v>252</v>
      </c>
      <c r="E1141">
        <v>138</v>
      </c>
      <c r="F1141">
        <v>13</v>
      </c>
      <c r="G1141">
        <v>0</v>
      </c>
      <c r="H1141">
        <v>0</v>
      </c>
      <c r="I1141">
        <v>0</v>
      </c>
      <c r="J1141">
        <v>0</v>
      </c>
      <c r="K1141">
        <v>0</v>
      </c>
      <c r="L1141">
        <v>0</v>
      </c>
      <c r="M1141">
        <v>447</v>
      </c>
      <c r="P1141" s="4"/>
    </row>
    <row r="1142" spans="1:16" x14ac:dyDescent="0.3">
      <c r="A1142" t="s">
        <v>131</v>
      </c>
      <c r="B1142" t="s">
        <v>1111</v>
      </c>
      <c r="C1142">
        <v>0</v>
      </c>
      <c r="D1142">
        <v>0</v>
      </c>
      <c r="E1142">
        <v>0</v>
      </c>
      <c r="F1142">
        <v>0</v>
      </c>
      <c r="G1142">
        <v>0</v>
      </c>
      <c r="H1142">
        <v>0</v>
      </c>
      <c r="I1142">
        <v>0</v>
      </c>
      <c r="J1142">
        <v>8</v>
      </c>
      <c r="K1142">
        <v>87</v>
      </c>
      <c r="L1142">
        <v>20</v>
      </c>
      <c r="M1142">
        <v>115</v>
      </c>
      <c r="P1142" s="3"/>
    </row>
    <row r="1143" spans="1:16" x14ac:dyDescent="0.3">
      <c r="A1143" t="s">
        <v>131</v>
      </c>
      <c r="B1143" t="s">
        <v>1112</v>
      </c>
      <c r="C1143">
        <v>0</v>
      </c>
      <c r="D1143">
        <v>0</v>
      </c>
      <c r="E1143">
        <v>85</v>
      </c>
      <c r="F1143">
        <v>64</v>
      </c>
      <c r="G1143">
        <v>19</v>
      </c>
      <c r="H1143">
        <v>11</v>
      </c>
      <c r="I1143">
        <v>3</v>
      </c>
      <c r="J1143">
        <v>1</v>
      </c>
      <c r="K1143">
        <v>5</v>
      </c>
      <c r="L1143">
        <v>2</v>
      </c>
      <c r="M1143">
        <v>190</v>
      </c>
      <c r="P1143" s="4"/>
    </row>
    <row r="1144" spans="1:16" x14ac:dyDescent="0.3">
      <c r="A1144" t="s">
        <v>131</v>
      </c>
      <c r="B1144" t="s">
        <v>1113</v>
      </c>
      <c r="C1144">
        <v>0</v>
      </c>
      <c r="D1144">
        <v>14</v>
      </c>
      <c r="E1144">
        <v>11</v>
      </c>
      <c r="F1144">
        <v>0</v>
      </c>
      <c r="G1144">
        <v>0</v>
      </c>
      <c r="H1144">
        <v>0</v>
      </c>
      <c r="I1144">
        <v>0</v>
      </c>
      <c r="J1144">
        <v>0</v>
      </c>
      <c r="K1144">
        <v>0</v>
      </c>
      <c r="L1144">
        <v>0</v>
      </c>
      <c r="M1144">
        <v>25</v>
      </c>
      <c r="P1144" s="3"/>
    </row>
    <row r="1145" spans="1:16" x14ac:dyDescent="0.3">
      <c r="A1145" t="s">
        <v>131</v>
      </c>
      <c r="B1145" t="s">
        <v>1114</v>
      </c>
      <c r="C1145">
        <v>0</v>
      </c>
      <c r="D1145">
        <v>33</v>
      </c>
      <c r="E1145">
        <v>427</v>
      </c>
      <c r="F1145">
        <v>900</v>
      </c>
      <c r="G1145">
        <v>913</v>
      </c>
      <c r="H1145">
        <v>891</v>
      </c>
      <c r="I1145">
        <v>1877</v>
      </c>
      <c r="J1145">
        <v>3734</v>
      </c>
      <c r="K1145">
        <v>4770</v>
      </c>
      <c r="L1145">
        <v>2228</v>
      </c>
      <c r="M1145">
        <v>15773</v>
      </c>
      <c r="P1145" s="4"/>
    </row>
    <row r="1146" spans="1:16" x14ac:dyDescent="0.3">
      <c r="A1146" t="s">
        <v>131</v>
      </c>
      <c r="B1146" t="s">
        <v>1115</v>
      </c>
      <c r="C1146">
        <v>227</v>
      </c>
      <c r="D1146">
        <v>287</v>
      </c>
      <c r="E1146">
        <v>164</v>
      </c>
      <c r="F1146">
        <v>15</v>
      </c>
      <c r="G1146">
        <v>0</v>
      </c>
      <c r="H1146">
        <v>13</v>
      </c>
      <c r="I1146">
        <v>73</v>
      </c>
      <c r="J1146">
        <v>131</v>
      </c>
      <c r="K1146">
        <v>12</v>
      </c>
      <c r="L1146">
        <v>0</v>
      </c>
      <c r="M1146">
        <v>922</v>
      </c>
      <c r="P1146" s="3"/>
    </row>
    <row r="1147" spans="1:16" x14ac:dyDescent="0.3">
      <c r="A1147" t="s">
        <v>131</v>
      </c>
      <c r="B1147" t="s">
        <v>1116</v>
      </c>
      <c r="C1147">
        <v>0</v>
      </c>
      <c r="D1147">
        <v>0</v>
      </c>
      <c r="E1147">
        <v>0</v>
      </c>
      <c r="F1147">
        <v>5</v>
      </c>
      <c r="G1147">
        <v>162</v>
      </c>
      <c r="H1147">
        <v>113</v>
      </c>
      <c r="I1147">
        <v>481</v>
      </c>
      <c r="J1147">
        <v>1222</v>
      </c>
      <c r="K1147">
        <v>2121</v>
      </c>
      <c r="L1147">
        <v>941</v>
      </c>
      <c r="M1147">
        <v>5045</v>
      </c>
      <c r="P1147" s="4"/>
    </row>
    <row r="1148" spans="1:16" x14ac:dyDescent="0.3">
      <c r="A1148" t="s">
        <v>136</v>
      </c>
      <c r="B1148" t="s">
        <v>1117</v>
      </c>
      <c r="C1148">
        <v>1</v>
      </c>
      <c r="D1148">
        <v>0</v>
      </c>
      <c r="E1148">
        <v>0</v>
      </c>
      <c r="F1148">
        <v>0</v>
      </c>
      <c r="G1148">
        <v>0</v>
      </c>
      <c r="H1148">
        <v>0</v>
      </c>
      <c r="I1148">
        <v>0</v>
      </c>
      <c r="J1148">
        <v>0</v>
      </c>
      <c r="K1148">
        <v>0</v>
      </c>
      <c r="L1148">
        <v>0</v>
      </c>
      <c r="M1148">
        <v>1</v>
      </c>
      <c r="P1148" s="3"/>
    </row>
    <row r="1149" spans="1:16" x14ac:dyDescent="0.3">
      <c r="A1149" t="s">
        <v>131</v>
      </c>
      <c r="B1149" t="s">
        <v>1118</v>
      </c>
      <c r="C1149">
        <v>0</v>
      </c>
      <c r="D1149">
        <v>1</v>
      </c>
      <c r="E1149">
        <v>0</v>
      </c>
      <c r="F1149">
        <v>0</v>
      </c>
      <c r="G1149">
        <v>0</v>
      </c>
      <c r="H1149">
        <v>0</v>
      </c>
      <c r="I1149">
        <v>0</v>
      </c>
      <c r="J1149">
        <v>0</v>
      </c>
      <c r="K1149">
        <v>0</v>
      </c>
      <c r="L1149">
        <v>0</v>
      </c>
      <c r="M1149">
        <v>1</v>
      </c>
      <c r="P1149" s="4"/>
    </row>
    <row r="1150" spans="1:16" x14ac:dyDescent="0.3">
      <c r="A1150" t="s">
        <v>133</v>
      </c>
      <c r="B1150" t="s">
        <v>1119</v>
      </c>
      <c r="C1150">
        <v>0</v>
      </c>
      <c r="D1150">
        <v>0</v>
      </c>
      <c r="E1150">
        <v>0</v>
      </c>
      <c r="F1150">
        <v>0</v>
      </c>
      <c r="G1150">
        <v>0</v>
      </c>
      <c r="H1150">
        <v>0</v>
      </c>
      <c r="I1150">
        <v>77</v>
      </c>
      <c r="J1150">
        <v>60</v>
      </c>
      <c r="K1150">
        <v>24</v>
      </c>
      <c r="L1150">
        <v>0</v>
      </c>
      <c r="M1150">
        <v>161</v>
      </c>
      <c r="P1150" s="3"/>
    </row>
    <row r="1151" spans="1:16" x14ac:dyDescent="0.3">
      <c r="A1151" t="s">
        <v>131</v>
      </c>
      <c r="B1151" t="s">
        <v>1120</v>
      </c>
      <c r="C1151">
        <v>0</v>
      </c>
      <c r="D1151">
        <v>0</v>
      </c>
      <c r="E1151">
        <v>69</v>
      </c>
      <c r="F1151">
        <v>141</v>
      </c>
      <c r="G1151">
        <v>391</v>
      </c>
      <c r="H1151">
        <v>311</v>
      </c>
      <c r="I1151">
        <v>603</v>
      </c>
      <c r="J1151">
        <v>1746</v>
      </c>
      <c r="K1151">
        <v>2248</v>
      </c>
      <c r="L1151">
        <v>1021</v>
      </c>
      <c r="M1151">
        <v>6530</v>
      </c>
      <c r="P1151" s="4"/>
    </row>
    <row r="1152" spans="1:16" x14ac:dyDescent="0.3">
      <c r="A1152" t="s">
        <v>131</v>
      </c>
      <c r="B1152" t="s">
        <v>1121</v>
      </c>
      <c r="C1152">
        <v>0</v>
      </c>
      <c r="D1152">
        <v>0</v>
      </c>
      <c r="E1152">
        <v>0</v>
      </c>
      <c r="F1152">
        <v>0</v>
      </c>
      <c r="G1152">
        <v>0</v>
      </c>
      <c r="H1152">
        <v>0</v>
      </c>
      <c r="I1152">
        <v>0</v>
      </c>
      <c r="J1152">
        <v>340</v>
      </c>
      <c r="K1152">
        <v>767</v>
      </c>
      <c r="L1152">
        <v>620</v>
      </c>
      <c r="M1152">
        <v>1727</v>
      </c>
      <c r="P1152" s="3"/>
    </row>
    <row r="1153" spans="1:16" x14ac:dyDescent="0.3">
      <c r="A1153" t="s">
        <v>131</v>
      </c>
      <c r="B1153" t="s">
        <v>1122</v>
      </c>
      <c r="C1153">
        <v>0</v>
      </c>
      <c r="D1153">
        <v>0</v>
      </c>
      <c r="E1153">
        <v>0</v>
      </c>
      <c r="F1153">
        <v>0</v>
      </c>
      <c r="G1153">
        <v>0</v>
      </c>
      <c r="H1153">
        <v>0</v>
      </c>
      <c r="I1153">
        <v>0</v>
      </c>
      <c r="J1153">
        <v>2</v>
      </c>
      <c r="K1153">
        <v>0</v>
      </c>
      <c r="L1153">
        <v>1</v>
      </c>
      <c r="M1153">
        <v>3</v>
      </c>
      <c r="P1153" s="4"/>
    </row>
    <row r="1154" spans="1:16" x14ac:dyDescent="0.3">
      <c r="A1154" t="s">
        <v>131</v>
      </c>
      <c r="B1154" t="s">
        <v>1123</v>
      </c>
      <c r="C1154">
        <v>0</v>
      </c>
      <c r="D1154">
        <v>0</v>
      </c>
      <c r="E1154">
        <v>3</v>
      </c>
      <c r="F1154">
        <v>0</v>
      </c>
      <c r="G1154">
        <v>0</v>
      </c>
      <c r="H1154">
        <v>0</v>
      </c>
      <c r="I1154">
        <v>0</v>
      </c>
      <c r="J1154">
        <v>0</v>
      </c>
      <c r="K1154">
        <v>0</v>
      </c>
      <c r="L1154">
        <v>0</v>
      </c>
      <c r="M1154">
        <v>3</v>
      </c>
      <c r="P1154" s="3"/>
    </row>
    <row r="1155" spans="1:16" x14ac:dyDescent="0.3">
      <c r="A1155" t="s">
        <v>131</v>
      </c>
      <c r="B1155" t="s">
        <v>1124</v>
      </c>
      <c r="C1155">
        <v>0</v>
      </c>
      <c r="D1155">
        <v>0</v>
      </c>
      <c r="E1155">
        <v>0</v>
      </c>
      <c r="F1155">
        <v>185</v>
      </c>
      <c r="G1155">
        <v>361</v>
      </c>
      <c r="H1155">
        <v>257</v>
      </c>
      <c r="I1155">
        <v>434</v>
      </c>
      <c r="J1155">
        <v>2217</v>
      </c>
      <c r="K1155">
        <v>2077</v>
      </c>
      <c r="L1155">
        <v>1133</v>
      </c>
      <c r="M1155">
        <v>6664</v>
      </c>
      <c r="P1155" s="4"/>
    </row>
    <row r="1156" spans="1:16" x14ac:dyDescent="0.3">
      <c r="A1156" t="s">
        <v>131</v>
      </c>
      <c r="B1156" t="s">
        <v>1125</v>
      </c>
      <c r="C1156">
        <v>0</v>
      </c>
      <c r="D1156">
        <v>0</v>
      </c>
      <c r="E1156">
        <v>0</v>
      </c>
      <c r="F1156">
        <v>0</v>
      </c>
      <c r="G1156">
        <v>0</v>
      </c>
      <c r="H1156">
        <v>12</v>
      </c>
      <c r="I1156">
        <v>81</v>
      </c>
      <c r="J1156">
        <v>211</v>
      </c>
      <c r="K1156">
        <v>570</v>
      </c>
      <c r="L1156">
        <v>315</v>
      </c>
      <c r="M1156">
        <v>1189</v>
      </c>
      <c r="P1156" s="3"/>
    </row>
    <row r="1157" spans="1:16" x14ac:dyDescent="0.3">
      <c r="A1157" t="s">
        <v>131</v>
      </c>
      <c r="B1157" t="s">
        <v>1126</v>
      </c>
      <c r="C1157">
        <v>0</v>
      </c>
      <c r="D1157">
        <v>0</v>
      </c>
      <c r="E1157">
        <v>0</v>
      </c>
      <c r="F1157">
        <v>0</v>
      </c>
      <c r="G1157">
        <v>0</v>
      </c>
      <c r="H1157">
        <v>0</v>
      </c>
      <c r="I1157">
        <v>0</v>
      </c>
      <c r="J1157">
        <v>0</v>
      </c>
      <c r="K1157">
        <v>0</v>
      </c>
      <c r="L1157">
        <v>47</v>
      </c>
      <c r="M1157">
        <v>47</v>
      </c>
      <c r="P1157" s="4"/>
    </row>
    <row r="1158" spans="1:16" x14ac:dyDescent="0.3">
      <c r="A1158" t="s">
        <v>131</v>
      </c>
      <c r="B1158" t="s">
        <v>1127</v>
      </c>
      <c r="C1158">
        <v>0</v>
      </c>
      <c r="D1158">
        <v>17</v>
      </c>
      <c r="E1158">
        <v>30</v>
      </c>
      <c r="F1158">
        <v>6</v>
      </c>
      <c r="G1158">
        <v>0</v>
      </c>
      <c r="H1158">
        <v>0</v>
      </c>
      <c r="I1158">
        <v>0</v>
      </c>
      <c r="J1158">
        <v>0</v>
      </c>
      <c r="K1158">
        <v>0</v>
      </c>
      <c r="L1158">
        <v>0</v>
      </c>
      <c r="M1158">
        <v>53</v>
      </c>
      <c r="P1158" s="3"/>
    </row>
    <row r="1159" spans="1:16" x14ac:dyDescent="0.3">
      <c r="A1159" t="s">
        <v>131</v>
      </c>
      <c r="B1159" t="s">
        <v>1128</v>
      </c>
      <c r="C1159">
        <v>0</v>
      </c>
      <c r="D1159">
        <v>0</v>
      </c>
      <c r="E1159">
        <v>0</v>
      </c>
      <c r="F1159">
        <v>0</v>
      </c>
      <c r="G1159">
        <v>0</v>
      </c>
      <c r="H1159">
        <v>0</v>
      </c>
      <c r="I1159">
        <v>0</v>
      </c>
      <c r="J1159">
        <v>11</v>
      </c>
      <c r="K1159">
        <v>175</v>
      </c>
      <c r="L1159">
        <v>223</v>
      </c>
      <c r="M1159">
        <v>409</v>
      </c>
      <c r="P1159" s="4"/>
    </row>
    <row r="1160" spans="1:16" x14ac:dyDescent="0.3">
      <c r="A1160" t="s">
        <v>131</v>
      </c>
      <c r="B1160" t="s">
        <v>1129</v>
      </c>
      <c r="C1160">
        <v>0</v>
      </c>
      <c r="D1160">
        <v>0</v>
      </c>
      <c r="E1160">
        <v>0</v>
      </c>
      <c r="F1160">
        <v>2</v>
      </c>
      <c r="G1160">
        <v>0</v>
      </c>
      <c r="H1160">
        <v>18</v>
      </c>
      <c r="I1160">
        <v>10</v>
      </c>
      <c r="J1160">
        <v>4</v>
      </c>
      <c r="K1160">
        <v>0</v>
      </c>
      <c r="L1160">
        <v>0</v>
      </c>
      <c r="M1160">
        <v>34</v>
      </c>
      <c r="P1160" s="3"/>
    </row>
    <row r="1161" spans="1:16" x14ac:dyDescent="0.3">
      <c r="A1161" t="s">
        <v>133</v>
      </c>
      <c r="B1161" t="s">
        <v>1130</v>
      </c>
      <c r="C1161">
        <v>0</v>
      </c>
      <c r="D1161">
        <v>0</v>
      </c>
      <c r="E1161">
        <v>0</v>
      </c>
      <c r="F1161">
        <v>0</v>
      </c>
      <c r="G1161">
        <v>0</v>
      </c>
      <c r="H1161">
        <v>0</v>
      </c>
      <c r="I1161">
        <v>0</v>
      </c>
      <c r="J1161">
        <v>0</v>
      </c>
      <c r="K1161">
        <v>0</v>
      </c>
      <c r="L1161">
        <v>1</v>
      </c>
      <c r="M1161">
        <v>1</v>
      </c>
      <c r="P1161" s="4"/>
    </row>
    <row r="1162" spans="1:16" x14ac:dyDescent="0.3">
      <c r="A1162" t="s">
        <v>131</v>
      </c>
      <c r="B1162" t="s">
        <v>1131</v>
      </c>
      <c r="C1162">
        <v>0</v>
      </c>
      <c r="D1162">
        <v>0</v>
      </c>
      <c r="E1162">
        <v>9</v>
      </c>
      <c r="F1162">
        <v>197</v>
      </c>
      <c r="G1162">
        <v>345</v>
      </c>
      <c r="H1162">
        <v>216</v>
      </c>
      <c r="I1162">
        <v>78</v>
      </c>
      <c r="J1162">
        <v>77</v>
      </c>
      <c r="K1162">
        <v>286</v>
      </c>
      <c r="L1162">
        <v>162</v>
      </c>
      <c r="M1162">
        <v>1370</v>
      </c>
      <c r="P1162" s="3"/>
    </row>
    <row r="1163" spans="1:16" x14ac:dyDescent="0.3">
      <c r="A1163" t="s">
        <v>131</v>
      </c>
      <c r="B1163" t="s">
        <v>1132</v>
      </c>
      <c r="C1163">
        <v>0</v>
      </c>
      <c r="D1163">
        <v>0</v>
      </c>
      <c r="E1163">
        <v>0</v>
      </c>
      <c r="F1163">
        <v>0</v>
      </c>
      <c r="G1163">
        <v>0</v>
      </c>
      <c r="H1163">
        <v>0</v>
      </c>
      <c r="I1163">
        <v>0</v>
      </c>
      <c r="J1163">
        <v>0</v>
      </c>
      <c r="K1163">
        <v>0</v>
      </c>
      <c r="L1163">
        <v>2</v>
      </c>
      <c r="M1163">
        <v>2</v>
      </c>
      <c r="P1163" s="4"/>
    </row>
    <row r="1164" spans="1:16" x14ac:dyDescent="0.3">
      <c r="A1164" t="s">
        <v>131</v>
      </c>
      <c r="B1164" t="s">
        <v>1133</v>
      </c>
      <c r="C1164">
        <v>0</v>
      </c>
      <c r="D1164">
        <v>0</v>
      </c>
      <c r="E1164">
        <v>0</v>
      </c>
      <c r="F1164">
        <v>0</v>
      </c>
      <c r="G1164">
        <v>0</v>
      </c>
      <c r="H1164">
        <v>0</v>
      </c>
      <c r="I1164">
        <v>0</v>
      </c>
      <c r="J1164">
        <v>0</v>
      </c>
      <c r="K1164">
        <v>0</v>
      </c>
      <c r="L1164">
        <v>207</v>
      </c>
      <c r="M1164">
        <v>207</v>
      </c>
      <c r="P1164" s="3"/>
    </row>
    <row r="1165" spans="1:16" x14ac:dyDescent="0.3">
      <c r="A1165" t="s">
        <v>131</v>
      </c>
      <c r="B1165" t="s">
        <v>1134</v>
      </c>
      <c r="C1165">
        <v>1</v>
      </c>
      <c r="D1165">
        <v>3</v>
      </c>
      <c r="E1165">
        <v>7</v>
      </c>
      <c r="F1165">
        <v>4</v>
      </c>
      <c r="G1165">
        <v>0</v>
      </c>
      <c r="H1165">
        <v>0</v>
      </c>
      <c r="I1165">
        <v>0</v>
      </c>
      <c r="J1165">
        <v>0</v>
      </c>
      <c r="K1165">
        <v>0</v>
      </c>
      <c r="L1165">
        <v>0</v>
      </c>
      <c r="M1165">
        <v>15</v>
      </c>
      <c r="P1165" s="4"/>
    </row>
    <row r="1166" spans="1:16" x14ac:dyDescent="0.3">
      <c r="A1166" t="s">
        <v>131</v>
      </c>
      <c r="B1166" t="s">
        <v>1135</v>
      </c>
      <c r="C1166">
        <v>0</v>
      </c>
      <c r="D1166">
        <v>0</v>
      </c>
      <c r="E1166">
        <v>6</v>
      </c>
      <c r="F1166">
        <v>0</v>
      </c>
      <c r="G1166">
        <v>0</v>
      </c>
      <c r="H1166">
        <v>0</v>
      </c>
      <c r="I1166">
        <v>0</v>
      </c>
      <c r="J1166">
        <v>0</v>
      </c>
      <c r="K1166">
        <v>0</v>
      </c>
      <c r="L1166">
        <v>0</v>
      </c>
      <c r="M1166">
        <v>6</v>
      </c>
      <c r="P1166" s="3"/>
    </row>
    <row r="1167" spans="1:16" x14ac:dyDescent="0.3">
      <c r="A1167" t="s">
        <v>131</v>
      </c>
      <c r="B1167" t="s">
        <v>1136</v>
      </c>
      <c r="C1167">
        <v>0</v>
      </c>
      <c r="D1167">
        <v>1</v>
      </c>
      <c r="E1167">
        <v>1</v>
      </c>
      <c r="F1167">
        <v>0</v>
      </c>
      <c r="G1167">
        <v>0</v>
      </c>
      <c r="H1167">
        <v>0</v>
      </c>
      <c r="I1167">
        <v>0</v>
      </c>
      <c r="J1167">
        <v>0</v>
      </c>
      <c r="K1167">
        <v>0</v>
      </c>
      <c r="L1167">
        <v>0</v>
      </c>
      <c r="M1167">
        <v>2</v>
      </c>
      <c r="P1167" s="4"/>
    </row>
    <row r="1168" spans="1:16" x14ac:dyDescent="0.3">
      <c r="A1168" t="s">
        <v>131</v>
      </c>
      <c r="B1168" t="s">
        <v>1137</v>
      </c>
      <c r="C1168">
        <v>0</v>
      </c>
      <c r="D1168">
        <v>0</v>
      </c>
      <c r="E1168">
        <v>0</v>
      </c>
      <c r="F1168">
        <v>0</v>
      </c>
      <c r="G1168">
        <v>0</v>
      </c>
      <c r="H1168">
        <v>0</v>
      </c>
      <c r="I1168">
        <v>0</v>
      </c>
      <c r="J1168">
        <v>0</v>
      </c>
      <c r="K1168">
        <v>11</v>
      </c>
      <c r="L1168">
        <v>112</v>
      </c>
      <c r="M1168">
        <v>123</v>
      </c>
      <c r="P1168" s="3"/>
    </row>
    <row r="1169" spans="1:16" x14ac:dyDescent="0.3">
      <c r="A1169" t="s">
        <v>131</v>
      </c>
      <c r="B1169" t="s">
        <v>1138</v>
      </c>
      <c r="C1169">
        <v>0</v>
      </c>
      <c r="D1169">
        <v>0</v>
      </c>
      <c r="E1169">
        <v>0</v>
      </c>
      <c r="F1169">
        <v>0</v>
      </c>
      <c r="G1169">
        <v>0</v>
      </c>
      <c r="H1169">
        <v>0</v>
      </c>
      <c r="I1169">
        <v>0</v>
      </c>
      <c r="J1169">
        <v>0</v>
      </c>
      <c r="K1169">
        <v>36</v>
      </c>
      <c r="L1169">
        <v>31</v>
      </c>
      <c r="M1169">
        <v>67</v>
      </c>
      <c r="P1169" s="4"/>
    </row>
    <row r="1170" spans="1:16" x14ac:dyDescent="0.3">
      <c r="A1170" t="s">
        <v>131</v>
      </c>
      <c r="B1170" t="s">
        <v>1139</v>
      </c>
      <c r="C1170">
        <v>0</v>
      </c>
      <c r="D1170">
        <v>0</v>
      </c>
      <c r="E1170">
        <v>6</v>
      </c>
      <c r="F1170">
        <v>0</v>
      </c>
      <c r="G1170">
        <v>0</v>
      </c>
      <c r="H1170">
        <v>0</v>
      </c>
      <c r="I1170">
        <v>0</v>
      </c>
      <c r="J1170">
        <v>0</v>
      </c>
      <c r="K1170">
        <v>0</v>
      </c>
      <c r="L1170">
        <v>0</v>
      </c>
      <c r="M1170">
        <v>6</v>
      </c>
      <c r="P1170" s="3"/>
    </row>
    <row r="1171" spans="1:16" x14ac:dyDescent="0.3">
      <c r="A1171" t="s">
        <v>131</v>
      </c>
      <c r="B1171" t="s">
        <v>1140</v>
      </c>
      <c r="C1171">
        <v>0</v>
      </c>
      <c r="D1171">
        <v>0</v>
      </c>
      <c r="E1171">
        <v>0</v>
      </c>
      <c r="F1171">
        <v>0</v>
      </c>
      <c r="G1171">
        <v>0</v>
      </c>
      <c r="H1171">
        <v>0</v>
      </c>
      <c r="I1171">
        <v>1</v>
      </c>
      <c r="J1171">
        <v>0</v>
      </c>
      <c r="K1171">
        <v>0</v>
      </c>
      <c r="L1171">
        <v>0</v>
      </c>
      <c r="M1171">
        <v>1</v>
      </c>
      <c r="P1171" s="4"/>
    </row>
    <row r="1172" spans="1:16" x14ac:dyDescent="0.3">
      <c r="A1172" t="s">
        <v>131</v>
      </c>
      <c r="B1172" t="s">
        <v>1141</v>
      </c>
      <c r="C1172">
        <v>0</v>
      </c>
      <c r="D1172">
        <v>0</v>
      </c>
      <c r="E1172">
        <v>0</v>
      </c>
      <c r="F1172">
        <v>0</v>
      </c>
      <c r="G1172">
        <v>17</v>
      </c>
      <c r="H1172">
        <v>0</v>
      </c>
      <c r="I1172">
        <v>0</v>
      </c>
      <c r="J1172">
        <v>0</v>
      </c>
      <c r="K1172">
        <v>2</v>
      </c>
      <c r="L1172">
        <v>7</v>
      </c>
      <c r="M1172">
        <v>26</v>
      </c>
      <c r="P1172" s="3"/>
    </row>
    <row r="1173" spans="1:16" x14ac:dyDescent="0.3">
      <c r="A1173" t="s">
        <v>131</v>
      </c>
      <c r="B1173" t="s">
        <v>1142</v>
      </c>
      <c r="C1173">
        <v>0</v>
      </c>
      <c r="D1173">
        <v>0</v>
      </c>
      <c r="E1173">
        <v>0</v>
      </c>
      <c r="F1173">
        <v>0</v>
      </c>
      <c r="G1173">
        <v>0</v>
      </c>
      <c r="H1173">
        <v>9</v>
      </c>
      <c r="I1173">
        <v>28</v>
      </c>
      <c r="J1173">
        <v>82</v>
      </c>
      <c r="K1173">
        <v>142</v>
      </c>
      <c r="L1173">
        <v>52</v>
      </c>
      <c r="M1173">
        <v>313</v>
      </c>
      <c r="P1173" s="4"/>
    </row>
    <row r="1174" spans="1:16" x14ac:dyDescent="0.3">
      <c r="A1174" t="s">
        <v>131</v>
      </c>
      <c r="B1174" t="s">
        <v>1143</v>
      </c>
      <c r="C1174">
        <v>0</v>
      </c>
      <c r="D1174">
        <v>0</v>
      </c>
      <c r="E1174">
        <v>0</v>
      </c>
      <c r="F1174">
        <v>0</v>
      </c>
      <c r="G1174">
        <v>0</v>
      </c>
      <c r="H1174">
        <v>1</v>
      </c>
      <c r="I1174">
        <v>94</v>
      </c>
      <c r="J1174">
        <v>1006</v>
      </c>
      <c r="K1174">
        <v>1198</v>
      </c>
      <c r="L1174">
        <v>538</v>
      </c>
      <c r="M1174">
        <v>2837</v>
      </c>
      <c r="P1174" s="3"/>
    </row>
    <row r="1175" spans="1:16" x14ac:dyDescent="0.3">
      <c r="A1175" t="s">
        <v>131</v>
      </c>
      <c r="B1175" t="s">
        <v>1144</v>
      </c>
      <c r="C1175">
        <v>0</v>
      </c>
      <c r="D1175">
        <v>0</v>
      </c>
      <c r="E1175">
        <v>0</v>
      </c>
      <c r="F1175">
        <v>0</v>
      </c>
      <c r="G1175">
        <v>0</v>
      </c>
      <c r="H1175">
        <v>0</v>
      </c>
      <c r="I1175">
        <v>0</v>
      </c>
      <c r="J1175">
        <v>0</v>
      </c>
      <c r="K1175">
        <v>2</v>
      </c>
      <c r="L1175">
        <v>107</v>
      </c>
      <c r="M1175">
        <v>109</v>
      </c>
      <c r="P1175" s="4"/>
    </row>
    <row r="1176" spans="1:16" x14ac:dyDescent="0.3">
      <c r="A1176" t="s">
        <v>133</v>
      </c>
      <c r="B1176" t="s">
        <v>1145</v>
      </c>
      <c r="C1176">
        <v>0</v>
      </c>
      <c r="D1176">
        <v>0</v>
      </c>
      <c r="E1176">
        <v>0</v>
      </c>
      <c r="F1176">
        <v>1</v>
      </c>
      <c r="G1176">
        <v>0</v>
      </c>
      <c r="H1176">
        <v>7</v>
      </c>
      <c r="I1176">
        <v>8</v>
      </c>
      <c r="J1176">
        <v>14</v>
      </c>
      <c r="K1176">
        <v>128</v>
      </c>
      <c r="L1176">
        <v>15</v>
      </c>
      <c r="M1176">
        <v>173</v>
      </c>
      <c r="P1176" s="3"/>
    </row>
    <row r="1177" spans="1:16" x14ac:dyDescent="0.3">
      <c r="A1177" t="s">
        <v>131</v>
      </c>
      <c r="B1177" t="s">
        <v>1145</v>
      </c>
      <c r="C1177">
        <v>1</v>
      </c>
      <c r="D1177">
        <v>8</v>
      </c>
      <c r="E1177">
        <v>325</v>
      </c>
      <c r="F1177">
        <v>700</v>
      </c>
      <c r="G1177">
        <v>444</v>
      </c>
      <c r="H1177">
        <v>157</v>
      </c>
      <c r="I1177">
        <v>134</v>
      </c>
      <c r="J1177">
        <v>55</v>
      </c>
      <c r="K1177">
        <v>134</v>
      </c>
      <c r="L1177">
        <v>71</v>
      </c>
      <c r="M1177">
        <v>2029</v>
      </c>
      <c r="P1177" s="4"/>
    </row>
    <row r="1178" spans="1:16" x14ac:dyDescent="0.3">
      <c r="A1178" t="s">
        <v>131</v>
      </c>
      <c r="B1178" t="s">
        <v>1146</v>
      </c>
      <c r="C1178">
        <v>0</v>
      </c>
      <c r="D1178">
        <v>1</v>
      </c>
      <c r="E1178">
        <v>47</v>
      </c>
      <c r="F1178">
        <v>5</v>
      </c>
      <c r="G1178">
        <v>0</v>
      </c>
      <c r="H1178">
        <v>2</v>
      </c>
      <c r="I1178">
        <v>0</v>
      </c>
      <c r="J1178">
        <v>0</v>
      </c>
      <c r="K1178">
        <v>1</v>
      </c>
      <c r="L1178">
        <v>0</v>
      </c>
      <c r="M1178">
        <v>56</v>
      </c>
      <c r="P1178" s="3"/>
    </row>
    <row r="1179" spans="1:16" x14ac:dyDescent="0.3">
      <c r="A1179" t="s">
        <v>131</v>
      </c>
      <c r="B1179" t="s">
        <v>1147</v>
      </c>
      <c r="C1179">
        <v>0</v>
      </c>
      <c r="D1179">
        <v>0</v>
      </c>
      <c r="E1179">
        <v>3</v>
      </c>
      <c r="F1179">
        <v>111</v>
      </c>
      <c r="G1179">
        <v>82</v>
      </c>
      <c r="H1179">
        <v>116</v>
      </c>
      <c r="I1179">
        <v>356</v>
      </c>
      <c r="J1179">
        <v>1038</v>
      </c>
      <c r="K1179">
        <v>2020</v>
      </c>
      <c r="L1179">
        <v>1390</v>
      </c>
      <c r="M1179">
        <v>5116</v>
      </c>
      <c r="P1179" s="4"/>
    </row>
    <row r="1180" spans="1:16" x14ac:dyDescent="0.3">
      <c r="A1180" t="s">
        <v>136</v>
      </c>
      <c r="B1180" t="s">
        <v>1147</v>
      </c>
      <c r="C1180">
        <v>0</v>
      </c>
      <c r="D1180">
        <v>0</v>
      </c>
      <c r="E1180">
        <v>0</v>
      </c>
      <c r="F1180">
        <v>0</v>
      </c>
      <c r="G1180">
        <v>0</v>
      </c>
      <c r="H1180">
        <v>0</v>
      </c>
      <c r="I1180">
        <v>0</v>
      </c>
      <c r="J1180">
        <v>0</v>
      </c>
      <c r="K1180">
        <v>0</v>
      </c>
      <c r="L1180">
        <v>1</v>
      </c>
      <c r="M1180">
        <v>1</v>
      </c>
      <c r="P1180" s="3"/>
    </row>
    <row r="1181" spans="1:16" x14ac:dyDescent="0.3">
      <c r="A1181" t="s">
        <v>131</v>
      </c>
      <c r="B1181" t="s">
        <v>1148</v>
      </c>
      <c r="C1181">
        <v>0</v>
      </c>
      <c r="D1181">
        <v>0</v>
      </c>
      <c r="E1181">
        <v>0</v>
      </c>
      <c r="F1181">
        <v>0</v>
      </c>
      <c r="G1181">
        <v>0</v>
      </c>
      <c r="H1181">
        <v>0</v>
      </c>
      <c r="I1181">
        <v>0</v>
      </c>
      <c r="J1181">
        <v>0</v>
      </c>
      <c r="K1181">
        <v>0</v>
      </c>
      <c r="L1181">
        <v>50</v>
      </c>
      <c r="M1181">
        <v>50</v>
      </c>
      <c r="P1181" s="4"/>
    </row>
    <row r="1182" spans="1:16" x14ac:dyDescent="0.3">
      <c r="A1182" t="s">
        <v>131</v>
      </c>
      <c r="B1182" t="s">
        <v>1149</v>
      </c>
      <c r="C1182">
        <v>0</v>
      </c>
      <c r="D1182">
        <v>0</v>
      </c>
      <c r="E1182">
        <v>0</v>
      </c>
      <c r="F1182">
        <v>0</v>
      </c>
      <c r="G1182">
        <v>0</v>
      </c>
      <c r="H1182">
        <v>0</v>
      </c>
      <c r="I1182">
        <v>64</v>
      </c>
      <c r="J1182">
        <v>244</v>
      </c>
      <c r="K1182">
        <v>434</v>
      </c>
      <c r="L1182">
        <v>219</v>
      </c>
      <c r="M1182">
        <v>961</v>
      </c>
      <c r="P1182" s="3"/>
    </row>
    <row r="1183" spans="1:16" x14ac:dyDescent="0.3">
      <c r="A1183" t="s">
        <v>131</v>
      </c>
      <c r="B1183" t="s">
        <v>1150</v>
      </c>
      <c r="C1183">
        <v>0</v>
      </c>
      <c r="D1183">
        <v>0</v>
      </c>
      <c r="E1183">
        <v>0</v>
      </c>
      <c r="F1183">
        <v>0</v>
      </c>
      <c r="G1183">
        <v>0</v>
      </c>
      <c r="H1183">
        <v>2</v>
      </c>
      <c r="I1183">
        <v>0</v>
      </c>
      <c r="J1183">
        <v>0</v>
      </c>
      <c r="K1183">
        <v>4</v>
      </c>
      <c r="L1183">
        <v>3</v>
      </c>
      <c r="M1183">
        <v>9</v>
      </c>
      <c r="P1183" s="4"/>
    </row>
    <row r="1184" spans="1:16" x14ac:dyDescent="0.3">
      <c r="A1184" t="s">
        <v>131</v>
      </c>
      <c r="B1184" t="s">
        <v>1151</v>
      </c>
      <c r="C1184">
        <v>0</v>
      </c>
      <c r="D1184">
        <v>0</v>
      </c>
      <c r="E1184">
        <v>0</v>
      </c>
      <c r="F1184">
        <v>0</v>
      </c>
      <c r="G1184">
        <v>0</v>
      </c>
      <c r="H1184">
        <v>0</v>
      </c>
      <c r="I1184">
        <v>0</v>
      </c>
      <c r="J1184">
        <v>0</v>
      </c>
      <c r="K1184">
        <v>16</v>
      </c>
      <c r="L1184">
        <v>13</v>
      </c>
      <c r="M1184">
        <v>29</v>
      </c>
      <c r="P1184" s="3"/>
    </row>
    <row r="1185" spans="1:16" x14ac:dyDescent="0.3">
      <c r="A1185" t="s">
        <v>136</v>
      </c>
      <c r="B1185" t="s">
        <v>1152</v>
      </c>
      <c r="C1185">
        <v>1</v>
      </c>
      <c r="D1185">
        <v>2</v>
      </c>
      <c r="E1185">
        <v>0</v>
      </c>
      <c r="F1185">
        <v>0</v>
      </c>
      <c r="G1185">
        <v>0</v>
      </c>
      <c r="H1185">
        <v>0</v>
      </c>
      <c r="I1185">
        <v>0</v>
      </c>
      <c r="J1185">
        <v>0</v>
      </c>
      <c r="K1185">
        <v>0</v>
      </c>
      <c r="L1185">
        <v>0</v>
      </c>
      <c r="M1185">
        <v>3</v>
      </c>
      <c r="P1185" s="4"/>
    </row>
    <row r="1186" spans="1:16" x14ac:dyDescent="0.3">
      <c r="A1186" t="s">
        <v>133</v>
      </c>
      <c r="B1186" t="s">
        <v>1153</v>
      </c>
      <c r="C1186">
        <v>17</v>
      </c>
      <c r="D1186">
        <v>24</v>
      </c>
      <c r="E1186">
        <v>20</v>
      </c>
      <c r="F1186">
        <v>2</v>
      </c>
      <c r="G1186">
        <v>1</v>
      </c>
      <c r="H1186">
        <v>0</v>
      </c>
      <c r="I1186">
        <v>0</v>
      </c>
      <c r="J1186">
        <v>9</v>
      </c>
      <c r="K1186">
        <v>0</v>
      </c>
      <c r="L1186">
        <v>0</v>
      </c>
      <c r="M1186">
        <v>73</v>
      </c>
      <c r="P1186" s="3"/>
    </row>
    <row r="1187" spans="1:16" x14ac:dyDescent="0.3">
      <c r="A1187" t="s">
        <v>131</v>
      </c>
      <c r="B1187" t="s">
        <v>1153</v>
      </c>
      <c r="C1187">
        <v>0</v>
      </c>
      <c r="D1187">
        <v>0</v>
      </c>
      <c r="E1187">
        <v>1</v>
      </c>
      <c r="F1187">
        <v>0</v>
      </c>
      <c r="G1187">
        <v>0</v>
      </c>
      <c r="H1187">
        <v>0</v>
      </c>
      <c r="I1187">
        <v>0</v>
      </c>
      <c r="J1187">
        <v>0</v>
      </c>
      <c r="K1187">
        <v>0</v>
      </c>
      <c r="L1187">
        <v>0</v>
      </c>
      <c r="M1187">
        <v>1</v>
      </c>
      <c r="P1187" s="4"/>
    </row>
    <row r="1188" spans="1:16" x14ac:dyDescent="0.3">
      <c r="A1188" t="s">
        <v>131</v>
      </c>
      <c r="B1188" t="s">
        <v>1154</v>
      </c>
      <c r="C1188">
        <v>0</v>
      </c>
      <c r="D1188">
        <v>0</v>
      </c>
      <c r="E1188">
        <v>0</v>
      </c>
      <c r="F1188">
        <v>0</v>
      </c>
      <c r="G1188">
        <v>0</v>
      </c>
      <c r="H1188">
        <v>0</v>
      </c>
      <c r="I1188">
        <v>0</v>
      </c>
      <c r="J1188">
        <v>0</v>
      </c>
      <c r="K1188">
        <v>84</v>
      </c>
      <c r="L1188">
        <v>17</v>
      </c>
      <c r="M1188">
        <v>101</v>
      </c>
      <c r="P1188" s="3"/>
    </row>
    <row r="1189" spans="1:16" x14ac:dyDescent="0.3">
      <c r="A1189" t="s">
        <v>131</v>
      </c>
      <c r="B1189" t="s">
        <v>1155</v>
      </c>
      <c r="C1189">
        <v>0</v>
      </c>
      <c r="D1189">
        <v>0</v>
      </c>
      <c r="E1189">
        <v>0</v>
      </c>
      <c r="F1189">
        <v>19</v>
      </c>
      <c r="G1189">
        <v>18</v>
      </c>
      <c r="H1189">
        <v>0</v>
      </c>
      <c r="I1189">
        <v>0</v>
      </c>
      <c r="J1189">
        <v>0</v>
      </c>
      <c r="K1189">
        <v>0</v>
      </c>
      <c r="L1189">
        <v>0</v>
      </c>
      <c r="M1189">
        <v>37</v>
      </c>
      <c r="P1189" s="4"/>
    </row>
    <row r="1190" spans="1:16" x14ac:dyDescent="0.3">
      <c r="A1190" t="s">
        <v>131</v>
      </c>
      <c r="B1190" t="s">
        <v>1156</v>
      </c>
      <c r="C1190">
        <v>0</v>
      </c>
      <c r="D1190">
        <v>0</v>
      </c>
      <c r="E1190">
        <v>0</v>
      </c>
      <c r="F1190">
        <v>0</v>
      </c>
      <c r="G1190">
        <v>0</v>
      </c>
      <c r="H1190">
        <v>0</v>
      </c>
      <c r="I1190">
        <v>15</v>
      </c>
      <c r="J1190">
        <v>7</v>
      </c>
      <c r="K1190">
        <v>5</v>
      </c>
      <c r="L1190">
        <v>4</v>
      </c>
      <c r="M1190">
        <v>31</v>
      </c>
      <c r="P1190" s="3"/>
    </row>
    <row r="1191" spans="1:16" x14ac:dyDescent="0.3">
      <c r="A1191" t="s">
        <v>131</v>
      </c>
      <c r="B1191" t="s">
        <v>1157</v>
      </c>
      <c r="C1191">
        <v>0</v>
      </c>
      <c r="D1191">
        <v>0</v>
      </c>
      <c r="E1191">
        <v>0</v>
      </c>
      <c r="F1191">
        <v>0</v>
      </c>
      <c r="G1191">
        <v>27</v>
      </c>
      <c r="H1191">
        <v>40</v>
      </c>
      <c r="I1191">
        <v>0</v>
      </c>
      <c r="J1191">
        <v>0</v>
      </c>
      <c r="K1191">
        <v>0</v>
      </c>
      <c r="L1191">
        <v>1</v>
      </c>
      <c r="M1191">
        <v>68</v>
      </c>
      <c r="P1191" s="4"/>
    </row>
    <row r="1192" spans="1:16" x14ac:dyDescent="0.3">
      <c r="A1192" t="s">
        <v>136</v>
      </c>
      <c r="B1192" t="s">
        <v>1158</v>
      </c>
      <c r="C1192">
        <v>0</v>
      </c>
      <c r="D1192">
        <v>0</v>
      </c>
      <c r="E1192">
        <v>0</v>
      </c>
      <c r="F1192">
        <v>0</v>
      </c>
      <c r="G1192">
        <v>0</v>
      </c>
      <c r="H1192">
        <v>0</v>
      </c>
      <c r="I1192">
        <v>0</v>
      </c>
      <c r="J1192">
        <v>1</v>
      </c>
      <c r="K1192">
        <v>0</v>
      </c>
      <c r="L1192">
        <v>84</v>
      </c>
      <c r="M1192">
        <v>85</v>
      </c>
      <c r="P1192" s="3"/>
    </row>
    <row r="1193" spans="1:16" x14ac:dyDescent="0.3">
      <c r="A1193" t="s">
        <v>131</v>
      </c>
      <c r="B1193" t="s">
        <v>1159</v>
      </c>
      <c r="C1193">
        <v>0</v>
      </c>
      <c r="D1193">
        <v>0</v>
      </c>
      <c r="E1193">
        <v>0</v>
      </c>
      <c r="F1193">
        <v>0</v>
      </c>
      <c r="G1193">
        <v>11</v>
      </c>
      <c r="H1193">
        <v>13</v>
      </c>
      <c r="I1193">
        <v>58</v>
      </c>
      <c r="J1193">
        <v>227</v>
      </c>
      <c r="K1193">
        <v>77</v>
      </c>
      <c r="L1193">
        <v>51</v>
      </c>
      <c r="M1193">
        <v>437</v>
      </c>
      <c r="P1193" s="4"/>
    </row>
    <row r="1194" spans="1:16" x14ac:dyDescent="0.3">
      <c r="A1194" t="s">
        <v>131</v>
      </c>
      <c r="B1194" t="s">
        <v>1160</v>
      </c>
      <c r="C1194">
        <v>0</v>
      </c>
      <c r="D1194">
        <v>0</v>
      </c>
      <c r="E1194">
        <v>0</v>
      </c>
      <c r="F1194">
        <v>2</v>
      </c>
      <c r="G1194">
        <v>145</v>
      </c>
      <c r="H1194">
        <v>161</v>
      </c>
      <c r="I1194">
        <v>326</v>
      </c>
      <c r="J1194">
        <v>1240</v>
      </c>
      <c r="K1194">
        <v>2845</v>
      </c>
      <c r="L1194">
        <v>1948</v>
      </c>
      <c r="M1194">
        <v>6667</v>
      </c>
      <c r="P1194" s="3"/>
    </row>
    <row r="1195" spans="1:16" x14ac:dyDescent="0.3">
      <c r="A1195" t="s">
        <v>131</v>
      </c>
      <c r="B1195" t="s">
        <v>1161</v>
      </c>
      <c r="C1195">
        <v>0</v>
      </c>
      <c r="D1195">
        <v>0</v>
      </c>
      <c r="E1195">
        <v>1</v>
      </c>
      <c r="F1195">
        <v>0</v>
      </c>
      <c r="G1195">
        <v>0</v>
      </c>
      <c r="H1195">
        <v>0</v>
      </c>
      <c r="I1195">
        <v>0</v>
      </c>
      <c r="J1195">
        <v>0</v>
      </c>
      <c r="K1195">
        <v>0</v>
      </c>
      <c r="L1195">
        <v>0</v>
      </c>
      <c r="M1195">
        <v>1</v>
      </c>
      <c r="P1195" s="4"/>
    </row>
    <row r="1196" spans="1:16" x14ac:dyDescent="0.3">
      <c r="A1196" t="s">
        <v>136</v>
      </c>
      <c r="B1196" t="s">
        <v>1161</v>
      </c>
      <c r="C1196">
        <v>0</v>
      </c>
      <c r="D1196">
        <v>1</v>
      </c>
      <c r="E1196">
        <v>0</v>
      </c>
      <c r="F1196">
        <v>1</v>
      </c>
      <c r="G1196">
        <v>0</v>
      </c>
      <c r="H1196">
        <v>0</v>
      </c>
      <c r="I1196">
        <v>0</v>
      </c>
      <c r="J1196">
        <v>0</v>
      </c>
      <c r="K1196">
        <v>0</v>
      </c>
      <c r="L1196">
        <v>0</v>
      </c>
      <c r="M1196">
        <v>2</v>
      </c>
      <c r="P1196" s="3"/>
    </row>
    <row r="1197" spans="1:16" x14ac:dyDescent="0.3">
      <c r="A1197" t="s">
        <v>131</v>
      </c>
      <c r="B1197" t="s">
        <v>1162</v>
      </c>
      <c r="C1197">
        <v>0</v>
      </c>
      <c r="D1197">
        <v>0</v>
      </c>
      <c r="E1197">
        <v>0</v>
      </c>
      <c r="F1197">
        <v>1</v>
      </c>
      <c r="G1197">
        <v>0</v>
      </c>
      <c r="H1197">
        <v>0</v>
      </c>
      <c r="I1197">
        <v>0</v>
      </c>
      <c r="J1197">
        <v>0</v>
      </c>
      <c r="K1197">
        <v>0</v>
      </c>
      <c r="L1197">
        <v>0</v>
      </c>
      <c r="M1197">
        <v>1</v>
      </c>
      <c r="P1197" s="4"/>
    </row>
    <row r="1198" spans="1:16" x14ac:dyDescent="0.3">
      <c r="A1198" t="s">
        <v>131</v>
      </c>
      <c r="B1198" t="s">
        <v>1163</v>
      </c>
      <c r="C1198">
        <v>0</v>
      </c>
      <c r="D1198">
        <v>0</v>
      </c>
      <c r="E1198">
        <v>0</v>
      </c>
      <c r="F1198">
        <v>0</v>
      </c>
      <c r="G1198">
        <v>0</v>
      </c>
      <c r="H1198">
        <v>0</v>
      </c>
      <c r="I1198">
        <v>0</v>
      </c>
      <c r="J1198">
        <v>6</v>
      </c>
      <c r="K1198">
        <v>11</v>
      </c>
      <c r="L1198">
        <v>3</v>
      </c>
      <c r="M1198">
        <v>20</v>
      </c>
      <c r="P1198" s="3"/>
    </row>
    <row r="1199" spans="1:16" x14ac:dyDescent="0.3">
      <c r="A1199" t="s">
        <v>131</v>
      </c>
      <c r="B1199" t="s">
        <v>1164</v>
      </c>
      <c r="C1199">
        <v>0</v>
      </c>
      <c r="D1199">
        <v>0</v>
      </c>
      <c r="E1199">
        <v>0</v>
      </c>
      <c r="F1199">
        <v>0</v>
      </c>
      <c r="G1199">
        <v>0</v>
      </c>
      <c r="H1199">
        <v>0</v>
      </c>
      <c r="I1199">
        <v>0</v>
      </c>
      <c r="J1199">
        <v>0</v>
      </c>
      <c r="K1199">
        <v>26</v>
      </c>
      <c r="L1199">
        <v>54</v>
      </c>
      <c r="M1199">
        <v>80</v>
      </c>
      <c r="P1199" s="4"/>
    </row>
    <row r="1200" spans="1:16" x14ac:dyDescent="0.3">
      <c r="A1200" t="s">
        <v>133</v>
      </c>
      <c r="B1200" t="s">
        <v>1165</v>
      </c>
      <c r="C1200">
        <v>0</v>
      </c>
      <c r="D1200">
        <v>2</v>
      </c>
      <c r="E1200">
        <v>0</v>
      </c>
      <c r="F1200">
        <v>0</v>
      </c>
      <c r="G1200">
        <v>0</v>
      </c>
      <c r="H1200">
        <v>0</v>
      </c>
      <c r="I1200">
        <v>0</v>
      </c>
      <c r="J1200">
        <v>0</v>
      </c>
      <c r="K1200">
        <v>0</v>
      </c>
      <c r="L1200">
        <v>0</v>
      </c>
      <c r="M1200">
        <v>2</v>
      </c>
      <c r="P1200" s="3"/>
    </row>
    <row r="1201" spans="1:16" x14ac:dyDescent="0.3">
      <c r="A1201" t="s">
        <v>131</v>
      </c>
      <c r="B1201" t="s">
        <v>1165</v>
      </c>
      <c r="C1201">
        <v>0</v>
      </c>
      <c r="D1201">
        <v>0</v>
      </c>
      <c r="E1201">
        <v>1</v>
      </c>
      <c r="F1201">
        <v>0</v>
      </c>
      <c r="G1201">
        <v>0</v>
      </c>
      <c r="H1201">
        <v>0</v>
      </c>
      <c r="I1201">
        <v>0</v>
      </c>
      <c r="J1201">
        <v>0</v>
      </c>
      <c r="K1201">
        <v>0</v>
      </c>
      <c r="L1201">
        <v>1</v>
      </c>
      <c r="M1201">
        <v>2</v>
      </c>
      <c r="P1201" s="4"/>
    </row>
    <row r="1202" spans="1:16" x14ac:dyDescent="0.3">
      <c r="A1202" t="s">
        <v>136</v>
      </c>
      <c r="B1202" t="s">
        <v>1165</v>
      </c>
      <c r="C1202">
        <v>9</v>
      </c>
      <c r="D1202">
        <v>10</v>
      </c>
      <c r="E1202">
        <v>3</v>
      </c>
      <c r="F1202">
        <v>144</v>
      </c>
      <c r="G1202">
        <v>419</v>
      </c>
      <c r="H1202">
        <v>2717</v>
      </c>
      <c r="I1202">
        <v>10033</v>
      </c>
      <c r="J1202">
        <v>1621</v>
      </c>
      <c r="K1202">
        <v>1766</v>
      </c>
      <c r="L1202">
        <v>3076</v>
      </c>
      <c r="M1202">
        <v>19798</v>
      </c>
      <c r="P1202" s="3"/>
    </row>
    <row r="1203" spans="1:16" x14ac:dyDescent="0.3">
      <c r="A1203" t="s">
        <v>181</v>
      </c>
      <c r="B1203" t="s">
        <v>1165</v>
      </c>
      <c r="C1203">
        <v>1</v>
      </c>
      <c r="D1203">
        <v>0</v>
      </c>
      <c r="E1203">
        <v>4</v>
      </c>
      <c r="F1203">
        <v>4</v>
      </c>
      <c r="G1203">
        <v>119</v>
      </c>
      <c r="H1203">
        <v>26</v>
      </c>
      <c r="I1203">
        <v>253</v>
      </c>
      <c r="J1203">
        <v>15</v>
      </c>
      <c r="K1203">
        <v>275</v>
      </c>
      <c r="L1203">
        <v>5</v>
      </c>
      <c r="M1203">
        <v>702</v>
      </c>
      <c r="P1203" s="4"/>
    </row>
    <row r="1204" spans="1:16" x14ac:dyDescent="0.3">
      <c r="A1204" t="s">
        <v>136</v>
      </c>
      <c r="B1204" t="s">
        <v>1166</v>
      </c>
      <c r="C1204">
        <v>0</v>
      </c>
      <c r="D1204">
        <v>0</v>
      </c>
      <c r="E1204">
        <v>0</v>
      </c>
      <c r="F1204">
        <v>0</v>
      </c>
      <c r="G1204">
        <v>0</v>
      </c>
      <c r="H1204">
        <v>0</v>
      </c>
      <c r="I1204">
        <v>0</v>
      </c>
      <c r="J1204">
        <v>30610</v>
      </c>
      <c r="K1204">
        <v>21420</v>
      </c>
      <c r="L1204">
        <v>490</v>
      </c>
      <c r="M1204">
        <v>52520</v>
      </c>
      <c r="P1204" s="3"/>
    </row>
    <row r="1205" spans="1:16" x14ac:dyDescent="0.3">
      <c r="A1205" t="s">
        <v>136</v>
      </c>
      <c r="B1205" t="s">
        <v>1167</v>
      </c>
      <c r="C1205">
        <v>0</v>
      </c>
      <c r="D1205">
        <v>0</v>
      </c>
      <c r="E1205">
        <v>0</v>
      </c>
      <c r="F1205">
        <v>0</v>
      </c>
      <c r="G1205">
        <v>0</v>
      </c>
      <c r="H1205">
        <v>0</v>
      </c>
      <c r="I1205">
        <v>0</v>
      </c>
      <c r="J1205">
        <v>0</v>
      </c>
      <c r="K1205">
        <v>38580</v>
      </c>
      <c r="L1205">
        <v>35830</v>
      </c>
      <c r="M1205">
        <v>74410</v>
      </c>
      <c r="P1205" s="4"/>
    </row>
    <row r="1206" spans="1:16" x14ac:dyDescent="0.3">
      <c r="A1206" t="s">
        <v>131</v>
      </c>
      <c r="B1206" t="s">
        <v>1168</v>
      </c>
      <c r="C1206">
        <v>0</v>
      </c>
      <c r="D1206">
        <v>0</v>
      </c>
      <c r="E1206">
        <v>0</v>
      </c>
      <c r="F1206">
        <v>0</v>
      </c>
      <c r="G1206">
        <v>35</v>
      </c>
      <c r="H1206">
        <v>24</v>
      </c>
      <c r="I1206">
        <v>76</v>
      </c>
      <c r="J1206">
        <v>234</v>
      </c>
      <c r="K1206">
        <v>346</v>
      </c>
      <c r="L1206">
        <v>170</v>
      </c>
      <c r="M1206">
        <v>885</v>
      </c>
      <c r="P1206" s="3"/>
    </row>
    <row r="1207" spans="1:16" x14ac:dyDescent="0.3">
      <c r="A1207" t="s">
        <v>131</v>
      </c>
      <c r="B1207" t="s">
        <v>1169</v>
      </c>
      <c r="C1207">
        <v>0</v>
      </c>
      <c r="D1207">
        <v>0</v>
      </c>
      <c r="E1207">
        <v>0</v>
      </c>
      <c r="F1207">
        <v>24</v>
      </c>
      <c r="G1207">
        <v>141</v>
      </c>
      <c r="H1207">
        <v>16</v>
      </c>
      <c r="I1207">
        <v>7</v>
      </c>
      <c r="J1207">
        <v>42</v>
      </c>
      <c r="K1207">
        <v>1</v>
      </c>
      <c r="L1207">
        <v>0</v>
      </c>
      <c r="M1207">
        <v>231</v>
      </c>
      <c r="P1207" s="4"/>
    </row>
    <row r="1208" spans="1:16" x14ac:dyDescent="0.3">
      <c r="A1208" t="s">
        <v>136</v>
      </c>
      <c r="B1208" t="s">
        <v>1170</v>
      </c>
      <c r="C1208">
        <v>0</v>
      </c>
      <c r="D1208">
        <v>0</v>
      </c>
      <c r="E1208">
        <v>0</v>
      </c>
      <c r="F1208">
        <v>0</v>
      </c>
      <c r="G1208">
        <v>0</v>
      </c>
      <c r="H1208">
        <v>0</v>
      </c>
      <c r="I1208">
        <v>1</v>
      </c>
      <c r="J1208">
        <v>0</v>
      </c>
      <c r="K1208">
        <v>0</v>
      </c>
      <c r="L1208">
        <v>0</v>
      </c>
      <c r="M1208">
        <v>1</v>
      </c>
      <c r="P1208" s="3"/>
    </row>
    <row r="1209" spans="1:16" x14ac:dyDescent="0.3">
      <c r="A1209" t="s">
        <v>131</v>
      </c>
      <c r="B1209" t="s">
        <v>1171</v>
      </c>
      <c r="C1209">
        <v>0</v>
      </c>
      <c r="D1209">
        <v>15</v>
      </c>
      <c r="E1209">
        <v>6</v>
      </c>
      <c r="F1209">
        <v>1</v>
      </c>
      <c r="G1209">
        <v>0</v>
      </c>
      <c r="H1209">
        <v>0</v>
      </c>
      <c r="I1209">
        <v>0</v>
      </c>
      <c r="J1209">
        <v>0</v>
      </c>
      <c r="K1209">
        <v>0</v>
      </c>
      <c r="L1209">
        <v>0</v>
      </c>
      <c r="M1209">
        <v>22</v>
      </c>
      <c r="P1209" s="4"/>
    </row>
    <row r="1210" spans="1:16" x14ac:dyDescent="0.3">
      <c r="A1210" t="s">
        <v>131</v>
      </c>
      <c r="B1210" t="s">
        <v>1172</v>
      </c>
      <c r="C1210">
        <v>0</v>
      </c>
      <c r="D1210">
        <v>64</v>
      </c>
      <c r="E1210">
        <v>893</v>
      </c>
      <c r="F1210">
        <v>2704</v>
      </c>
      <c r="G1210">
        <v>3545</v>
      </c>
      <c r="H1210">
        <v>2631</v>
      </c>
      <c r="I1210">
        <v>3404</v>
      </c>
      <c r="J1210">
        <v>7876</v>
      </c>
      <c r="K1210">
        <v>8810</v>
      </c>
      <c r="L1210">
        <v>4959</v>
      </c>
      <c r="M1210">
        <v>34886</v>
      </c>
      <c r="P1210" s="3"/>
    </row>
    <row r="1211" spans="1:16" x14ac:dyDescent="0.3">
      <c r="A1211" t="s">
        <v>136</v>
      </c>
      <c r="B1211" t="s">
        <v>1172</v>
      </c>
      <c r="C1211">
        <v>0</v>
      </c>
      <c r="D1211">
        <v>0</v>
      </c>
      <c r="E1211">
        <v>0</v>
      </c>
      <c r="F1211">
        <v>0</v>
      </c>
      <c r="G1211">
        <v>1</v>
      </c>
      <c r="H1211">
        <v>0</v>
      </c>
      <c r="I1211">
        <v>0</v>
      </c>
      <c r="J1211">
        <v>0</v>
      </c>
      <c r="K1211">
        <v>0</v>
      </c>
      <c r="L1211">
        <v>0</v>
      </c>
      <c r="M1211">
        <v>1</v>
      </c>
      <c r="P1211" s="4"/>
    </row>
    <row r="1212" spans="1:16" x14ac:dyDescent="0.3">
      <c r="A1212" t="s">
        <v>131</v>
      </c>
      <c r="B1212" t="s">
        <v>1173</v>
      </c>
      <c r="C1212">
        <v>0</v>
      </c>
      <c r="D1212">
        <v>0</v>
      </c>
      <c r="E1212">
        <v>0</v>
      </c>
      <c r="F1212">
        <v>0</v>
      </c>
      <c r="G1212">
        <v>32</v>
      </c>
      <c r="H1212">
        <v>14</v>
      </c>
      <c r="I1212">
        <v>38</v>
      </c>
      <c r="J1212">
        <v>79</v>
      </c>
      <c r="K1212">
        <v>58</v>
      </c>
      <c r="L1212">
        <v>4</v>
      </c>
      <c r="M1212">
        <v>225</v>
      </c>
      <c r="P1212" s="3"/>
    </row>
    <row r="1213" spans="1:16" x14ac:dyDescent="0.3">
      <c r="A1213" t="s">
        <v>136</v>
      </c>
      <c r="B1213" t="s">
        <v>1173</v>
      </c>
      <c r="C1213">
        <v>0</v>
      </c>
      <c r="D1213">
        <v>0</v>
      </c>
      <c r="E1213">
        <v>0</v>
      </c>
      <c r="F1213">
        <v>0</v>
      </c>
      <c r="G1213">
        <v>1</v>
      </c>
      <c r="H1213">
        <v>0</v>
      </c>
      <c r="I1213">
        <v>0</v>
      </c>
      <c r="J1213">
        <v>0</v>
      </c>
      <c r="K1213">
        <v>0</v>
      </c>
      <c r="L1213">
        <v>0</v>
      </c>
      <c r="M1213">
        <v>1</v>
      </c>
      <c r="P1213" s="4"/>
    </row>
    <row r="1214" spans="1:16" x14ac:dyDescent="0.3">
      <c r="A1214" t="s">
        <v>131</v>
      </c>
      <c r="B1214" t="s">
        <v>1174</v>
      </c>
      <c r="C1214">
        <v>0</v>
      </c>
      <c r="D1214">
        <v>0</v>
      </c>
      <c r="E1214">
        <v>0</v>
      </c>
      <c r="F1214">
        <v>0</v>
      </c>
      <c r="G1214">
        <v>0</v>
      </c>
      <c r="H1214">
        <v>0</v>
      </c>
      <c r="I1214">
        <v>0</v>
      </c>
      <c r="J1214">
        <v>0</v>
      </c>
      <c r="K1214">
        <v>8</v>
      </c>
      <c r="L1214">
        <v>10</v>
      </c>
      <c r="M1214">
        <v>18</v>
      </c>
      <c r="P1214" s="3"/>
    </row>
    <row r="1215" spans="1:16" x14ac:dyDescent="0.3">
      <c r="A1215" t="s">
        <v>133</v>
      </c>
      <c r="B1215" t="s">
        <v>1175</v>
      </c>
      <c r="C1215">
        <v>0</v>
      </c>
      <c r="D1215">
        <v>0</v>
      </c>
      <c r="E1215">
        <v>0</v>
      </c>
      <c r="F1215">
        <v>0</v>
      </c>
      <c r="G1215">
        <v>0</v>
      </c>
      <c r="H1215">
        <v>0</v>
      </c>
      <c r="I1215">
        <v>0</v>
      </c>
      <c r="J1215">
        <v>1</v>
      </c>
      <c r="K1215">
        <v>48</v>
      </c>
      <c r="L1215">
        <v>8</v>
      </c>
      <c r="M1215">
        <v>57</v>
      </c>
      <c r="P1215" s="4"/>
    </row>
    <row r="1216" spans="1:16" x14ac:dyDescent="0.3">
      <c r="A1216" t="s">
        <v>131</v>
      </c>
      <c r="B1216" t="s">
        <v>1175</v>
      </c>
      <c r="C1216">
        <v>326</v>
      </c>
      <c r="D1216">
        <v>1493</v>
      </c>
      <c r="E1216">
        <v>1825</v>
      </c>
      <c r="F1216">
        <v>2850</v>
      </c>
      <c r="G1216">
        <v>3303</v>
      </c>
      <c r="H1216">
        <v>1986</v>
      </c>
      <c r="I1216">
        <v>3895</v>
      </c>
      <c r="J1216">
        <v>5915</v>
      </c>
      <c r="K1216">
        <v>7271</v>
      </c>
      <c r="L1216">
        <v>3924</v>
      </c>
      <c r="M1216">
        <v>32788</v>
      </c>
      <c r="P1216" s="3"/>
    </row>
    <row r="1217" spans="1:16" x14ac:dyDescent="0.3">
      <c r="A1217" t="s">
        <v>131</v>
      </c>
      <c r="B1217" t="s">
        <v>1176</v>
      </c>
      <c r="C1217">
        <v>0</v>
      </c>
      <c r="D1217">
        <v>0</v>
      </c>
      <c r="E1217">
        <v>0</v>
      </c>
      <c r="F1217">
        <v>0</v>
      </c>
      <c r="G1217">
        <v>0</v>
      </c>
      <c r="H1217">
        <v>0</v>
      </c>
      <c r="I1217">
        <v>0</v>
      </c>
      <c r="J1217">
        <v>1</v>
      </c>
      <c r="K1217">
        <v>1273</v>
      </c>
      <c r="L1217">
        <v>3139</v>
      </c>
      <c r="M1217">
        <v>4413</v>
      </c>
      <c r="P1217" s="4"/>
    </row>
    <row r="1218" spans="1:16" x14ac:dyDescent="0.3">
      <c r="A1218" t="s">
        <v>131</v>
      </c>
      <c r="B1218" t="s">
        <v>1177</v>
      </c>
      <c r="C1218">
        <v>0</v>
      </c>
      <c r="D1218">
        <v>14</v>
      </c>
      <c r="E1218">
        <v>58</v>
      </c>
      <c r="F1218">
        <v>919</v>
      </c>
      <c r="G1218">
        <v>1103</v>
      </c>
      <c r="H1218">
        <v>869</v>
      </c>
      <c r="I1218">
        <v>943</v>
      </c>
      <c r="J1218">
        <v>1382</v>
      </c>
      <c r="K1218">
        <v>1743</v>
      </c>
      <c r="L1218">
        <v>809</v>
      </c>
      <c r="M1218">
        <v>7840</v>
      </c>
      <c r="P1218" s="3"/>
    </row>
    <row r="1219" spans="1:16" x14ac:dyDescent="0.3">
      <c r="A1219" t="s">
        <v>133</v>
      </c>
      <c r="B1219" t="s">
        <v>1178</v>
      </c>
      <c r="C1219">
        <v>0</v>
      </c>
      <c r="D1219">
        <v>0</v>
      </c>
      <c r="E1219">
        <v>0</v>
      </c>
      <c r="F1219">
        <v>0</v>
      </c>
      <c r="G1219">
        <v>0</v>
      </c>
      <c r="H1219">
        <v>1</v>
      </c>
      <c r="I1219">
        <v>0</v>
      </c>
      <c r="J1219">
        <v>319</v>
      </c>
      <c r="K1219">
        <v>1589</v>
      </c>
      <c r="L1219">
        <v>931</v>
      </c>
      <c r="M1219">
        <v>2840</v>
      </c>
      <c r="P1219" s="4"/>
    </row>
    <row r="1220" spans="1:16" x14ac:dyDescent="0.3">
      <c r="A1220" t="s">
        <v>131</v>
      </c>
      <c r="B1220" t="s">
        <v>1179</v>
      </c>
      <c r="C1220">
        <v>0</v>
      </c>
      <c r="D1220">
        <v>0</v>
      </c>
      <c r="E1220">
        <v>0</v>
      </c>
      <c r="F1220">
        <v>1</v>
      </c>
      <c r="G1220">
        <v>0</v>
      </c>
      <c r="H1220">
        <v>0</v>
      </c>
      <c r="I1220">
        <v>0</v>
      </c>
      <c r="J1220">
        <v>0</v>
      </c>
      <c r="K1220">
        <v>0</v>
      </c>
      <c r="L1220">
        <v>0</v>
      </c>
      <c r="M1220">
        <v>1</v>
      </c>
      <c r="P1220" s="3"/>
    </row>
    <row r="1221" spans="1:16" x14ac:dyDescent="0.3">
      <c r="A1221" t="s">
        <v>136</v>
      </c>
      <c r="B1221" t="s">
        <v>1179</v>
      </c>
      <c r="C1221">
        <v>19</v>
      </c>
      <c r="D1221">
        <v>24</v>
      </c>
      <c r="E1221">
        <v>12</v>
      </c>
      <c r="F1221">
        <v>28</v>
      </c>
      <c r="G1221">
        <v>3</v>
      </c>
      <c r="H1221">
        <v>0</v>
      </c>
      <c r="I1221">
        <v>6</v>
      </c>
      <c r="J1221">
        <v>1</v>
      </c>
      <c r="K1221">
        <v>0</v>
      </c>
      <c r="L1221">
        <v>0</v>
      </c>
      <c r="M1221">
        <v>93</v>
      </c>
      <c r="P1221" s="4"/>
    </row>
    <row r="1222" spans="1:16" x14ac:dyDescent="0.3">
      <c r="A1222" t="s">
        <v>136</v>
      </c>
      <c r="B1222" t="s">
        <v>1180</v>
      </c>
      <c r="C1222">
        <v>0</v>
      </c>
      <c r="D1222">
        <v>0</v>
      </c>
      <c r="E1222">
        <v>0</v>
      </c>
      <c r="F1222">
        <v>0</v>
      </c>
      <c r="G1222">
        <v>1</v>
      </c>
      <c r="H1222">
        <v>0</v>
      </c>
      <c r="I1222">
        <v>3</v>
      </c>
      <c r="J1222">
        <v>0</v>
      </c>
      <c r="K1222">
        <v>0</v>
      </c>
      <c r="L1222">
        <v>0</v>
      </c>
      <c r="M1222">
        <v>4</v>
      </c>
      <c r="P1222" s="3"/>
    </row>
    <row r="1223" spans="1:16" x14ac:dyDescent="0.3">
      <c r="A1223" t="s">
        <v>131</v>
      </c>
      <c r="B1223" t="s">
        <v>1181</v>
      </c>
      <c r="C1223">
        <v>0</v>
      </c>
      <c r="D1223">
        <v>0</v>
      </c>
      <c r="E1223">
        <v>0</v>
      </c>
      <c r="F1223">
        <v>0</v>
      </c>
      <c r="G1223">
        <v>9</v>
      </c>
      <c r="H1223">
        <v>0</v>
      </c>
      <c r="I1223">
        <v>0</v>
      </c>
      <c r="J1223">
        <v>0</v>
      </c>
      <c r="K1223">
        <v>0</v>
      </c>
      <c r="L1223">
        <v>0</v>
      </c>
      <c r="M1223">
        <v>9</v>
      </c>
      <c r="P1223" s="4"/>
    </row>
    <row r="1224" spans="1:16" x14ac:dyDescent="0.3">
      <c r="A1224" t="s">
        <v>131</v>
      </c>
      <c r="B1224" t="s">
        <v>1182</v>
      </c>
      <c r="C1224">
        <v>0</v>
      </c>
      <c r="D1224">
        <v>0</v>
      </c>
      <c r="E1224">
        <v>0</v>
      </c>
      <c r="F1224">
        <v>0</v>
      </c>
      <c r="G1224">
        <v>0</v>
      </c>
      <c r="H1224">
        <v>2</v>
      </c>
      <c r="I1224">
        <v>13</v>
      </c>
      <c r="J1224">
        <v>9</v>
      </c>
      <c r="K1224">
        <v>57</v>
      </c>
      <c r="L1224">
        <v>120</v>
      </c>
      <c r="M1224">
        <v>201</v>
      </c>
      <c r="P1224" s="3"/>
    </row>
    <row r="1225" spans="1:16" x14ac:dyDescent="0.3">
      <c r="A1225" t="s">
        <v>131</v>
      </c>
      <c r="B1225" t="s">
        <v>1183</v>
      </c>
      <c r="C1225">
        <v>0</v>
      </c>
      <c r="D1225">
        <v>0</v>
      </c>
      <c r="E1225">
        <v>0</v>
      </c>
      <c r="F1225">
        <v>11</v>
      </c>
      <c r="G1225">
        <v>108</v>
      </c>
      <c r="H1225">
        <v>146</v>
      </c>
      <c r="I1225">
        <v>416</v>
      </c>
      <c r="J1225">
        <v>1355</v>
      </c>
      <c r="K1225">
        <v>1361</v>
      </c>
      <c r="L1225">
        <v>422</v>
      </c>
      <c r="M1225">
        <v>3819</v>
      </c>
      <c r="P1225" s="4"/>
    </row>
    <row r="1226" spans="1:16" x14ac:dyDescent="0.3">
      <c r="A1226" t="s">
        <v>131</v>
      </c>
      <c r="B1226" t="s">
        <v>1184</v>
      </c>
      <c r="C1226">
        <v>0</v>
      </c>
      <c r="D1226">
        <v>0</v>
      </c>
      <c r="E1226">
        <v>2</v>
      </c>
      <c r="F1226">
        <v>71</v>
      </c>
      <c r="G1226">
        <v>61</v>
      </c>
      <c r="H1226">
        <v>10</v>
      </c>
      <c r="I1226">
        <v>2</v>
      </c>
      <c r="J1226">
        <v>0</v>
      </c>
      <c r="K1226">
        <v>10</v>
      </c>
      <c r="L1226">
        <v>1</v>
      </c>
      <c r="M1226">
        <v>157</v>
      </c>
      <c r="P1226" s="3"/>
    </row>
    <row r="1227" spans="1:16" x14ac:dyDescent="0.3">
      <c r="A1227" t="s">
        <v>131</v>
      </c>
      <c r="B1227" t="s">
        <v>1185</v>
      </c>
      <c r="C1227">
        <v>0</v>
      </c>
      <c r="D1227">
        <v>0</v>
      </c>
      <c r="E1227">
        <v>0</v>
      </c>
      <c r="F1227">
        <v>5</v>
      </c>
      <c r="G1227">
        <v>6</v>
      </c>
      <c r="H1227">
        <v>0</v>
      </c>
      <c r="I1227">
        <v>0</v>
      </c>
      <c r="J1227">
        <v>0</v>
      </c>
      <c r="K1227">
        <v>3</v>
      </c>
      <c r="L1227">
        <v>4</v>
      </c>
      <c r="M1227">
        <v>18</v>
      </c>
      <c r="P1227" s="4"/>
    </row>
    <row r="1228" spans="1:16" x14ac:dyDescent="0.3">
      <c r="A1228" t="s">
        <v>131</v>
      </c>
      <c r="B1228" t="s">
        <v>1186</v>
      </c>
      <c r="C1228">
        <v>0</v>
      </c>
      <c r="D1228">
        <v>5</v>
      </c>
      <c r="E1228">
        <v>42</v>
      </c>
      <c r="F1228">
        <v>47</v>
      </c>
      <c r="G1228">
        <v>26</v>
      </c>
      <c r="H1228">
        <v>5</v>
      </c>
      <c r="I1228">
        <v>0</v>
      </c>
      <c r="J1228">
        <v>7</v>
      </c>
      <c r="K1228">
        <v>296</v>
      </c>
      <c r="L1228">
        <v>227</v>
      </c>
      <c r="M1228">
        <v>655</v>
      </c>
      <c r="P1228" s="3"/>
    </row>
    <row r="1229" spans="1:16" x14ac:dyDescent="0.3">
      <c r="A1229" t="s">
        <v>131</v>
      </c>
      <c r="B1229" t="s">
        <v>1187</v>
      </c>
      <c r="C1229">
        <v>0</v>
      </c>
      <c r="D1229">
        <v>0</v>
      </c>
      <c r="E1229">
        <v>0</v>
      </c>
      <c r="F1229">
        <v>0</v>
      </c>
      <c r="G1229">
        <v>10</v>
      </c>
      <c r="H1229">
        <v>35</v>
      </c>
      <c r="I1229">
        <v>35</v>
      </c>
      <c r="J1229">
        <v>29</v>
      </c>
      <c r="K1229">
        <v>30</v>
      </c>
      <c r="L1229">
        <v>9</v>
      </c>
      <c r="M1229">
        <v>148</v>
      </c>
      <c r="P1229" s="4"/>
    </row>
    <row r="1230" spans="1:16" x14ac:dyDescent="0.3">
      <c r="A1230" t="s">
        <v>131</v>
      </c>
      <c r="B1230" t="s">
        <v>1188</v>
      </c>
      <c r="C1230">
        <v>0</v>
      </c>
      <c r="D1230">
        <v>0</v>
      </c>
      <c r="E1230">
        <v>0</v>
      </c>
      <c r="F1230">
        <v>0</v>
      </c>
      <c r="G1230">
        <v>208</v>
      </c>
      <c r="H1230">
        <v>82</v>
      </c>
      <c r="I1230">
        <v>193</v>
      </c>
      <c r="J1230">
        <v>391</v>
      </c>
      <c r="K1230">
        <v>987</v>
      </c>
      <c r="L1230">
        <v>460</v>
      </c>
      <c r="M1230">
        <v>2321</v>
      </c>
      <c r="P1230" s="3"/>
    </row>
    <row r="1231" spans="1:16" x14ac:dyDescent="0.3">
      <c r="A1231" t="s">
        <v>133</v>
      </c>
      <c r="B1231" t="s">
        <v>1189</v>
      </c>
      <c r="C1231">
        <v>0</v>
      </c>
      <c r="D1231">
        <v>0</v>
      </c>
      <c r="E1231">
        <v>0</v>
      </c>
      <c r="F1231">
        <v>0</v>
      </c>
      <c r="G1231">
        <v>0</v>
      </c>
      <c r="H1231">
        <v>0</v>
      </c>
      <c r="I1231">
        <v>1</v>
      </c>
      <c r="J1231">
        <v>58</v>
      </c>
      <c r="K1231">
        <v>44</v>
      </c>
      <c r="L1231">
        <v>16</v>
      </c>
      <c r="M1231">
        <v>119</v>
      </c>
      <c r="P1231" s="4"/>
    </row>
    <row r="1232" spans="1:16" x14ac:dyDescent="0.3">
      <c r="A1232" t="s">
        <v>133</v>
      </c>
      <c r="B1232" t="s">
        <v>1190</v>
      </c>
      <c r="C1232">
        <v>165</v>
      </c>
      <c r="D1232">
        <v>171</v>
      </c>
      <c r="E1232">
        <v>69</v>
      </c>
      <c r="F1232">
        <v>23</v>
      </c>
      <c r="G1232">
        <v>30</v>
      </c>
      <c r="H1232">
        <v>233</v>
      </c>
      <c r="I1232">
        <v>5258</v>
      </c>
      <c r="J1232">
        <v>47182</v>
      </c>
      <c r="K1232">
        <v>166580</v>
      </c>
      <c r="L1232">
        <v>98516</v>
      </c>
      <c r="M1232">
        <v>318227</v>
      </c>
      <c r="P1232" s="3"/>
    </row>
    <row r="1233" spans="1:16" x14ac:dyDescent="0.3">
      <c r="A1233" t="s">
        <v>131</v>
      </c>
      <c r="B1233" t="s">
        <v>1190</v>
      </c>
      <c r="C1233">
        <v>2</v>
      </c>
      <c r="D1233">
        <v>6</v>
      </c>
      <c r="E1233">
        <v>6</v>
      </c>
      <c r="F1233">
        <v>3</v>
      </c>
      <c r="G1233">
        <v>0</v>
      </c>
      <c r="H1233">
        <v>0</v>
      </c>
      <c r="I1233">
        <v>0</v>
      </c>
      <c r="J1233">
        <v>5</v>
      </c>
      <c r="K1233">
        <v>97</v>
      </c>
      <c r="L1233">
        <v>99</v>
      </c>
      <c r="M1233">
        <v>218</v>
      </c>
      <c r="P1233" s="4"/>
    </row>
    <row r="1234" spans="1:16" x14ac:dyDescent="0.3">
      <c r="A1234" t="s">
        <v>131</v>
      </c>
      <c r="B1234" t="s">
        <v>1191</v>
      </c>
      <c r="C1234">
        <v>0</v>
      </c>
      <c r="D1234">
        <v>0</v>
      </c>
      <c r="E1234">
        <v>0</v>
      </c>
      <c r="F1234">
        <v>0</v>
      </c>
      <c r="G1234">
        <v>19</v>
      </c>
      <c r="H1234">
        <v>4</v>
      </c>
      <c r="I1234">
        <v>6</v>
      </c>
      <c r="J1234">
        <v>6</v>
      </c>
      <c r="K1234">
        <v>11</v>
      </c>
      <c r="L1234">
        <v>6</v>
      </c>
      <c r="M1234">
        <v>52</v>
      </c>
      <c r="P1234" s="3"/>
    </row>
    <row r="1235" spans="1:16" x14ac:dyDescent="0.3">
      <c r="A1235" t="s">
        <v>131</v>
      </c>
      <c r="B1235" t="s">
        <v>1192</v>
      </c>
      <c r="C1235">
        <v>0</v>
      </c>
      <c r="D1235">
        <v>4</v>
      </c>
      <c r="E1235">
        <v>357</v>
      </c>
      <c r="F1235">
        <v>356</v>
      </c>
      <c r="G1235">
        <v>448</v>
      </c>
      <c r="H1235">
        <v>454</v>
      </c>
      <c r="I1235">
        <v>311</v>
      </c>
      <c r="J1235">
        <v>476</v>
      </c>
      <c r="K1235">
        <v>1505</v>
      </c>
      <c r="L1235">
        <v>449</v>
      </c>
      <c r="M1235">
        <v>4360</v>
      </c>
      <c r="P1235" s="4"/>
    </row>
    <row r="1236" spans="1:16" x14ac:dyDescent="0.3">
      <c r="A1236" t="s">
        <v>131</v>
      </c>
      <c r="B1236" t="s">
        <v>1193</v>
      </c>
      <c r="C1236">
        <v>0</v>
      </c>
      <c r="D1236">
        <v>0</v>
      </c>
      <c r="E1236">
        <v>0</v>
      </c>
      <c r="F1236">
        <v>260</v>
      </c>
      <c r="G1236">
        <v>368</v>
      </c>
      <c r="H1236">
        <v>289</v>
      </c>
      <c r="I1236">
        <v>940</v>
      </c>
      <c r="J1236">
        <v>2724</v>
      </c>
      <c r="K1236">
        <v>3848</v>
      </c>
      <c r="L1236">
        <v>2002</v>
      </c>
      <c r="M1236">
        <v>10431</v>
      </c>
      <c r="P1236" s="3"/>
    </row>
    <row r="1237" spans="1:16" x14ac:dyDescent="0.3">
      <c r="A1237" t="s">
        <v>133</v>
      </c>
      <c r="B1237" t="s">
        <v>1194</v>
      </c>
      <c r="C1237">
        <v>0</v>
      </c>
      <c r="D1237">
        <v>0</v>
      </c>
      <c r="E1237">
        <v>0</v>
      </c>
      <c r="F1237">
        <v>0</v>
      </c>
      <c r="G1237">
        <v>0</v>
      </c>
      <c r="H1237">
        <v>2</v>
      </c>
      <c r="I1237">
        <v>25</v>
      </c>
      <c r="J1237">
        <v>40</v>
      </c>
      <c r="K1237">
        <v>31</v>
      </c>
      <c r="L1237">
        <v>6</v>
      </c>
      <c r="M1237">
        <v>104</v>
      </c>
      <c r="P1237" s="4"/>
    </row>
    <row r="1238" spans="1:16" x14ac:dyDescent="0.3">
      <c r="A1238" t="s">
        <v>131</v>
      </c>
      <c r="B1238" t="s">
        <v>1195</v>
      </c>
      <c r="C1238">
        <v>22</v>
      </c>
      <c r="D1238">
        <v>210</v>
      </c>
      <c r="E1238">
        <v>135</v>
      </c>
      <c r="F1238">
        <v>1</v>
      </c>
      <c r="G1238">
        <v>4</v>
      </c>
      <c r="H1238">
        <v>0</v>
      </c>
      <c r="I1238">
        <v>0</v>
      </c>
      <c r="J1238">
        <v>15</v>
      </c>
      <c r="K1238">
        <v>3</v>
      </c>
      <c r="L1238">
        <v>0</v>
      </c>
      <c r="M1238">
        <v>390</v>
      </c>
      <c r="P1238" s="3"/>
    </row>
    <row r="1239" spans="1:16" x14ac:dyDescent="0.3">
      <c r="A1239" t="s">
        <v>131</v>
      </c>
      <c r="B1239" t="s">
        <v>1196</v>
      </c>
      <c r="C1239">
        <v>0</v>
      </c>
      <c r="D1239">
        <v>0</v>
      </c>
      <c r="E1239">
        <v>0</v>
      </c>
      <c r="F1239">
        <v>45</v>
      </c>
      <c r="G1239">
        <v>34</v>
      </c>
      <c r="H1239">
        <v>16</v>
      </c>
      <c r="I1239">
        <v>0</v>
      </c>
      <c r="J1239">
        <v>0</v>
      </c>
      <c r="K1239">
        <v>0</v>
      </c>
      <c r="L1239">
        <v>0</v>
      </c>
      <c r="M1239">
        <v>95</v>
      </c>
      <c r="P1239" s="4"/>
    </row>
    <row r="1240" spans="1:16" x14ac:dyDescent="0.3">
      <c r="A1240" t="s">
        <v>131</v>
      </c>
      <c r="B1240" t="s">
        <v>1197</v>
      </c>
      <c r="C1240">
        <v>0</v>
      </c>
      <c r="D1240">
        <v>299</v>
      </c>
      <c r="E1240">
        <v>791</v>
      </c>
      <c r="F1240">
        <v>581</v>
      </c>
      <c r="G1240">
        <v>656</v>
      </c>
      <c r="H1240">
        <v>304</v>
      </c>
      <c r="I1240">
        <v>499</v>
      </c>
      <c r="J1240">
        <v>1978</v>
      </c>
      <c r="K1240">
        <v>2438</v>
      </c>
      <c r="L1240">
        <v>1760</v>
      </c>
      <c r="M1240">
        <v>9306</v>
      </c>
      <c r="P1240" s="3"/>
    </row>
    <row r="1241" spans="1:16" x14ac:dyDescent="0.3">
      <c r="A1241" t="s">
        <v>136</v>
      </c>
      <c r="B1241" t="s">
        <v>1197</v>
      </c>
      <c r="C1241">
        <v>0</v>
      </c>
      <c r="D1241">
        <v>0</v>
      </c>
      <c r="E1241">
        <v>0</v>
      </c>
      <c r="F1241">
        <v>0</v>
      </c>
      <c r="G1241">
        <v>0</v>
      </c>
      <c r="H1241">
        <v>0</v>
      </c>
      <c r="I1241">
        <v>0</v>
      </c>
      <c r="J1241">
        <v>1</v>
      </c>
      <c r="K1241">
        <v>2</v>
      </c>
      <c r="L1241">
        <v>0</v>
      </c>
      <c r="M1241">
        <v>3</v>
      </c>
      <c r="P1241" s="4"/>
    </row>
    <row r="1242" spans="1:16" x14ac:dyDescent="0.3">
      <c r="A1242" t="s">
        <v>133</v>
      </c>
      <c r="B1242" t="s">
        <v>1198</v>
      </c>
      <c r="C1242">
        <v>0</v>
      </c>
      <c r="D1242">
        <v>0</v>
      </c>
      <c r="E1242">
        <v>0</v>
      </c>
      <c r="F1242">
        <v>0</v>
      </c>
      <c r="G1242">
        <v>0</v>
      </c>
      <c r="H1242">
        <v>0</v>
      </c>
      <c r="I1242">
        <v>0</v>
      </c>
      <c r="J1242">
        <v>0</v>
      </c>
      <c r="K1242">
        <v>256</v>
      </c>
      <c r="L1242">
        <v>69</v>
      </c>
      <c r="M1242">
        <v>325</v>
      </c>
      <c r="P1242" s="3"/>
    </row>
    <row r="1243" spans="1:16" x14ac:dyDescent="0.3">
      <c r="A1243" t="s">
        <v>131</v>
      </c>
      <c r="B1243" t="s">
        <v>1199</v>
      </c>
      <c r="C1243">
        <v>0</v>
      </c>
      <c r="D1243">
        <v>3</v>
      </c>
      <c r="E1243">
        <v>23</v>
      </c>
      <c r="F1243">
        <v>126</v>
      </c>
      <c r="G1243">
        <v>41</v>
      </c>
      <c r="H1243">
        <v>2</v>
      </c>
      <c r="I1243">
        <v>1</v>
      </c>
      <c r="J1243">
        <v>34</v>
      </c>
      <c r="K1243">
        <v>137</v>
      </c>
      <c r="L1243">
        <v>50</v>
      </c>
      <c r="M1243">
        <v>417</v>
      </c>
      <c r="P1243" s="4"/>
    </row>
    <row r="1244" spans="1:16" x14ac:dyDescent="0.3">
      <c r="A1244" t="s">
        <v>131</v>
      </c>
      <c r="B1244" t="s">
        <v>1200</v>
      </c>
      <c r="C1244">
        <v>0</v>
      </c>
      <c r="D1244">
        <v>1</v>
      </c>
      <c r="E1244">
        <v>0</v>
      </c>
      <c r="F1244">
        <v>6</v>
      </c>
      <c r="G1244">
        <v>1</v>
      </c>
      <c r="H1244">
        <v>0</v>
      </c>
      <c r="I1244">
        <v>0</v>
      </c>
      <c r="J1244">
        <v>0</v>
      </c>
      <c r="K1244">
        <v>0</v>
      </c>
      <c r="L1244">
        <v>0</v>
      </c>
      <c r="M1244">
        <v>8</v>
      </c>
      <c r="P1244" s="3"/>
    </row>
    <row r="1245" spans="1:16" x14ac:dyDescent="0.3">
      <c r="A1245" t="s">
        <v>131</v>
      </c>
      <c r="B1245" t="s">
        <v>1201</v>
      </c>
      <c r="C1245">
        <v>0</v>
      </c>
      <c r="D1245">
        <v>0</v>
      </c>
      <c r="E1245">
        <v>0</v>
      </c>
      <c r="F1245">
        <v>26</v>
      </c>
      <c r="G1245">
        <v>99</v>
      </c>
      <c r="H1245">
        <v>37</v>
      </c>
      <c r="I1245">
        <v>72</v>
      </c>
      <c r="J1245">
        <v>191</v>
      </c>
      <c r="K1245">
        <v>211</v>
      </c>
      <c r="L1245">
        <v>125</v>
      </c>
      <c r="M1245">
        <v>761</v>
      </c>
      <c r="P1245" s="4"/>
    </row>
    <row r="1246" spans="1:16" x14ac:dyDescent="0.3">
      <c r="A1246" t="s">
        <v>131</v>
      </c>
      <c r="B1246" t="s">
        <v>1202</v>
      </c>
      <c r="C1246">
        <v>0</v>
      </c>
      <c r="D1246">
        <v>0</v>
      </c>
      <c r="E1246">
        <v>13</v>
      </c>
      <c r="F1246">
        <v>0</v>
      </c>
      <c r="G1246">
        <v>0</v>
      </c>
      <c r="H1246">
        <v>0</v>
      </c>
      <c r="I1246">
        <v>0</v>
      </c>
      <c r="J1246">
        <v>0</v>
      </c>
      <c r="K1246">
        <v>0</v>
      </c>
      <c r="L1246">
        <v>0</v>
      </c>
      <c r="M1246">
        <v>13</v>
      </c>
      <c r="P1246" s="3"/>
    </row>
    <row r="1247" spans="1:16" x14ac:dyDescent="0.3">
      <c r="A1247" t="s">
        <v>131</v>
      </c>
      <c r="B1247" t="s">
        <v>1203</v>
      </c>
      <c r="C1247">
        <v>0</v>
      </c>
      <c r="D1247">
        <v>0</v>
      </c>
      <c r="E1247">
        <v>1</v>
      </c>
      <c r="F1247">
        <v>2</v>
      </c>
      <c r="G1247">
        <v>1</v>
      </c>
      <c r="H1247">
        <v>0</v>
      </c>
      <c r="I1247">
        <v>3</v>
      </c>
      <c r="J1247">
        <v>0</v>
      </c>
      <c r="K1247">
        <v>0</v>
      </c>
      <c r="L1247">
        <v>0</v>
      </c>
      <c r="M1247">
        <v>7</v>
      </c>
      <c r="P1247" s="4"/>
    </row>
    <row r="1248" spans="1:16" x14ac:dyDescent="0.3">
      <c r="A1248" t="s">
        <v>131</v>
      </c>
      <c r="B1248" t="s">
        <v>1204</v>
      </c>
      <c r="C1248">
        <v>0</v>
      </c>
      <c r="D1248">
        <v>0</v>
      </c>
      <c r="E1248">
        <v>0</v>
      </c>
      <c r="F1248">
        <v>0</v>
      </c>
      <c r="G1248">
        <v>0</v>
      </c>
      <c r="H1248">
        <v>0</v>
      </c>
      <c r="I1248">
        <v>0</v>
      </c>
      <c r="J1248">
        <v>0</v>
      </c>
      <c r="K1248">
        <v>26</v>
      </c>
      <c r="L1248">
        <v>874</v>
      </c>
      <c r="M1248">
        <v>900</v>
      </c>
      <c r="P1248" s="3"/>
    </row>
    <row r="1249" spans="1:16" x14ac:dyDescent="0.3">
      <c r="A1249" t="s">
        <v>131</v>
      </c>
      <c r="B1249" t="s">
        <v>1205</v>
      </c>
      <c r="C1249">
        <v>0</v>
      </c>
      <c r="D1249">
        <v>0</v>
      </c>
      <c r="E1249">
        <v>1</v>
      </c>
      <c r="F1249">
        <v>174</v>
      </c>
      <c r="G1249">
        <v>313</v>
      </c>
      <c r="H1249">
        <v>185</v>
      </c>
      <c r="I1249">
        <v>778</v>
      </c>
      <c r="J1249">
        <v>1671</v>
      </c>
      <c r="K1249">
        <v>3580</v>
      </c>
      <c r="L1249">
        <v>2132</v>
      </c>
      <c r="M1249">
        <v>8834</v>
      </c>
      <c r="P1249" s="4"/>
    </row>
    <row r="1250" spans="1:16" x14ac:dyDescent="0.3">
      <c r="A1250" t="s">
        <v>131</v>
      </c>
      <c r="B1250" t="s">
        <v>1206</v>
      </c>
      <c r="C1250">
        <v>0</v>
      </c>
      <c r="D1250">
        <v>0</v>
      </c>
      <c r="E1250">
        <v>266</v>
      </c>
      <c r="F1250">
        <v>1515</v>
      </c>
      <c r="G1250">
        <v>2125</v>
      </c>
      <c r="H1250">
        <v>1776</v>
      </c>
      <c r="I1250">
        <v>3988</v>
      </c>
      <c r="J1250">
        <v>10246</v>
      </c>
      <c r="K1250">
        <v>13572</v>
      </c>
      <c r="L1250">
        <v>8121</v>
      </c>
      <c r="M1250">
        <v>41609</v>
      </c>
      <c r="P1250" s="3"/>
    </row>
    <row r="1251" spans="1:16" x14ac:dyDescent="0.3">
      <c r="A1251" t="s">
        <v>136</v>
      </c>
      <c r="B1251" t="s">
        <v>1206</v>
      </c>
      <c r="C1251">
        <v>0</v>
      </c>
      <c r="D1251">
        <v>0</v>
      </c>
      <c r="E1251">
        <v>0</v>
      </c>
      <c r="F1251">
        <v>0</v>
      </c>
      <c r="G1251">
        <v>0</v>
      </c>
      <c r="H1251">
        <v>0</v>
      </c>
      <c r="I1251">
        <v>0</v>
      </c>
      <c r="J1251">
        <v>3</v>
      </c>
      <c r="K1251">
        <v>3</v>
      </c>
      <c r="L1251">
        <v>0</v>
      </c>
      <c r="M1251">
        <v>6</v>
      </c>
      <c r="P1251" s="4"/>
    </row>
    <row r="1252" spans="1:16" x14ac:dyDescent="0.3">
      <c r="A1252" t="s">
        <v>131</v>
      </c>
      <c r="B1252" t="s">
        <v>1207</v>
      </c>
      <c r="C1252">
        <v>0</v>
      </c>
      <c r="D1252">
        <v>1</v>
      </c>
      <c r="E1252">
        <v>0</v>
      </c>
      <c r="F1252">
        <v>0</v>
      </c>
      <c r="G1252">
        <v>0</v>
      </c>
      <c r="H1252">
        <v>0</v>
      </c>
      <c r="I1252">
        <v>0</v>
      </c>
      <c r="J1252">
        <v>0</v>
      </c>
      <c r="K1252">
        <v>0</v>
      </c>
      <c r="L1252">
        <v>0</v>
      </c>
      <c r="M1252">
        <v>1</v>
      </c>
      <c r="P1252" s="3"/>
    </row>
    <row r="1253" spans="1:16" x14ac:dyDescent="0.3">
      <c r="A1253" t="s">
        <v>131</v>
      </c>
      <c r="B1253" t="s">
        <v>1208</v>
      </c>
      <c r="C1253">
        <v>0</v>
      </c>
      <c r="D1253">
        <v>0</v>
      </c>
      <c r="E1253">
        <v>42</v>
      </c>
      <c r="F1253">
        <v>657</v>
      </c>
      <c r="G1253">
        <v>788</v>
      </c>
      <c r="H1253">
        <v>291</v>
      </c>
      <c r="I1253">
        <v>226</v>
      </c>
      <c r="J1253">
        <v>321</v>
      </c>
      <c r="K1253">
        <v>272</v>
      </c>
      <c r="L1253">
        <v>194</v>
      </c>
      <c r="M1253">
        <v>2791</v>
      </c>
      <c r="P1253" s="4"/>
    </row>
    <row r="1254" spans="1:16" x14ac:dyDescent="0.3">
      <c r="A1254" t="s">
        <v>131</v>
      </c>
      <c r="B1254" t="s">
        <v>1209</v>
      </c>
      <c r="C1254">
        <v>0</v>
      </c>
      <c r="D1254">
        <v>0</v>
      </c>
      <c r="E1254">
        <v>0</v>
      </c>
      <c r="F1254">
        <v>3</v>
      </c>
      <c r="G1254">
        <v>0</v>
      </c>
      <c r="H1254">
        <v>0</v>
      </c>
      <c r="I1254">
        <v>0</v>
      </c>
      <c r="J1254">
        <v>0</v>
      </c>
      <c r="K1254">
        <v>0</v>
      </c>
      <c r="L1254">
        <v>0</v>
      </c>
      <c r="M1254">
        <v>3</v>
      </c>
      <c r="P1254" s="3"/>
    </row>
    <row r="1255" spans="1:16" x14ac:dyDescent="0.3">
      <c r="A1255" t="s">
        <v>131</v>
      </c>
      <c r="B1255" t="s">
        <v>1210</v>
      </c>
      <c r="C1255">
        <v>0</v>
      </c>
      <c r="D1255">
        <v>0</v>
      </c>
      <c r="E1255">
        <v>0</v>
      </c>
      <c r="F1255">
        <v>0</v>
      </c>
      <c r="G1255">
        <v>0</v>
      </c>
      <c r="H1255">
        <v>0</v>
      </c>
      <c r="I1255">
        <v>0</v>
      </c>
      <c r="J1255">
        <v>156</v>
      </c>
      <c r="K1255">
        <v>355</v>
      </c>
      <c r="L1255">
        <v>208</v>
      </c>
      <c r="M1255">
        <v>719</v>
      </c>
      <c r="P1255" s="4"/>
    </row>
    <row r="1256" spans="1:16" x14ac:dyDescent="0.3">
      <c r="A1256" t="s">
        <v>131</v>
      </c>
      <c r="B1256" t="s">
        <v>1211</v>
      </c>
      <c r="C1256">
        <v>0</v>
      </c>
      <c r="D1256">
        <v>0</v>
      </c>
      <c r="E1256">
        <v>0</v>
      </c>
      <c r="F1256">
        <v>0</v>
      </c>
      <c r="G1256">
        <v>0</v>
      </c>
      <c r="H1256">
        <v>0</v>
      </c>
      <c r="I1256">
        <v>0</v>
      </c>
      <c r="J1256">
        <v>0</v>
      </c>
      <c r="K1256">
        <v>0</v>
      </c>
      <c r="L1256">
        <v>17</v>
      </c>
      <c r="M1256">
        <v>17</v>
      </c>
      <c r="P1256" s="3"/>
    </row>
    <row r="1257" spans="1:16" x14ac:dyDescent="0.3">
      <c r="A1257" t="s">
        <v>131</v>
      </c>
      <c r="B1257" t="s">
        <v>1212</v>
      </c>
      <c r="C1257">
        <v>0</v>
      </c>
      <c r="D1257">
        <v>36</v>
      </c>
      <c r="E1257">
        <v>0</v>
      </c>
      <c r="F1257">
        <v>0</v>
      </c>
      <c r="G1257">
        <v>0</v>
      </c>
      <c r="H1257">
        <v>0</v>
      </c>
      <c r="I1257">
        <v>0</v>
      </c>
      <c r="J1257">
        <v>0</v>
      </c>
      <c r="K1257">
        <v>0</v>
      </c>
      <c r="L1257">
        <v>0</v>
      </c>
      <c r="M1257">
        <v>36</v>
      </c>
      <c r="P1257" s="4"/>
    </row>
    <row r="1258" spans="1:16" x14ac:dyDescent="0.3">
      <c r="A1258" t="s">
        <v>131</v>
      </c>
      <c r="B1258" t="s">
        <v>1213</v>
      </c>
      <c r="C1258">
        <v>0</v>
      </c>
      <c r="D1258">
        <v>0</v>
      </c>
      <c r="E1258">
        <v>50</v>
      </c>
      <c r="F1258">
        <v>258</v>
      </c>
      <c r="G1258">
        <v>197</v>
      </c>
      <c r="H1258">
        <v>82</v>
      </c>
      <c r="I1258">
        <v>59</v>
      </c>
      <c r="J1258">
        <v>59</v>
      </c>
      <c r="K1258">
        <v>9</v>
      </c>
      <c r="L1258">
        <v>0</v>
      </c>
      <c r="M1258">
        <v>714</v>
      </c>
      <c r="P1258" s="3"/>
    </row>
    <row r="1259" spans="1:16" x14ac:dyDescent="0.3">
      <c r="A1259" t="s">
        <v>131</v>
      </c>
      <c r="B1259" t="s">
        <v>1214</v>
      </c>
      <c r="C1259">
        <v>0</v>
      </c>
      <c r="D1259">
        <v>0</v>
      </c>
      <c r="E1259">
        <v>3</v>
      </c>
      <c r="F1259">
        <v>1</v>
      </c>
      <c r="G1259">
        <v>0</v>
      </c>
      <c r="H1259">
        <v>0</v>
      </c>
      <c r="I1259">
        <v>0</v>
      </c>
      <c r="J1259">
        <v>0</v>
      </c>
      <c r="K1259">
        <v>0</v>
      </c>
      <c r="L1259">
        <v>0</v>
      </c>
      <c r="M1259">
        <v>4</v>
      </c>
      <c r="P1259" s="4"/>
    </row>
    <row r="1260" spans="1:16" x14ac:dyDescent="0.3">
      <c r="A1260" t="s">
        <v>131</v>
      </c>
      <c r="B1260" t="s">
        <v>1215</v>
      </c>
      <c r="C1260">
        <v>0</v>
      </c>
      <c r="D1260">
        <v>6</v>
      </c>
      <c r="E1260">
        <v>3</v>
      </c>
      <c r="F1260">
        <v>113</v>
      </c>
      <c r="G1260">
        <v>103</v>
      </c>
      <c r="H1260">
        <v>152</v>
      </c>
      <c r="I1260">
        <v>78</v>
      </c>
      <c r="J1260">
        <v>72</v>
      </c>
      <c r="K1260">
        <v>26</v>
      </c>
      <c r="L1260">
        <v>3</v>
      </c>
      <c r="M1260">
        <v>556</v>
      </c>
      <c r="P1260" s="3"/>
    </row>
    <row r="1261" spans="1:16" x14ac:dyDescent="0.3">
      <c r="A1261" t="s">
        <v>131</v>
      </c>
      <c r="B1261" t="s">
        <v>1216</v>
      </c>
      <c r="C1261">
        <v>0</v>
      </c>
      <c r="D1261">
        <v>0</v>
      </c>
      <c r="E1261">
        <v>0</v>
      </c>
      <c r="F1261">
        <v>0</v>
      </c>
      <c r="G1261">
        <v>0</v>
      </c>
      <c r="H1261">
        <v>0</v>
      </c>
      <c r="I1261">
        <v>12</v>
      </c>
      <c r="J1261">
        <v>17</v>
      </c>
      <c r="K1261">
        <v>23</v>
      </c>
      <c r="L1261">
        <v>89</v>
      </c>
      <c r="M1261">
        <v>141</v>
      </c>
      <c r="P1261" s="4"/>
    </row>
    <row r="1262" spans="1:16" x14ac:dyDescent="0.3">
      <c r="A1262" t="s">
        <v>131</v>
      </c>
      <c r="B1262" t="s">
        <v>1217</v>
      </c>
      <c r="C1262">
        <v>0</v>
      </c>
      <c r="D1262">
        <v>0</v>
      </c>
      <c r="E1262">
        <v>211</v>
      </c>
      <c r="F1262">
        <v>1996</v>
      </c>
      <c r="G1262">
        <v>3217</v>
      </c>
      <c r="H1262">
        <v>3083</v>
      </c>
      <c r="I1262">
        <v>3924</v>
      </c>
      <c r="J1262">
        <v>5969</v>
      </c>
      <c r="K1262">
        <v>7832</v>
      </c>
      <c r="L1262">
        <v>4577</v>
      </c>
      <c r="M1262">
        <v>30809</v>
      </c>
      <c r="P1262" s="3"/>
    </row>
    <row r="1263" spans="1:16" x14ac:dyDescent="0.3">
      <c r="A1263" t="s">
        <v>131</v>
      </c>
      <c r="B1263" t="s">
        <v>1218</v>
      </c>
      <c r="C1263">
        <v>0</v>
      </c>
      <c r="D1263">
        <v>0</v>
      </c>
      <c r="E1263">
        <v>0</v>
      </c>
      <c r="F1263">
        <v>1</v>
      </c>
      <c r="G1263">
        <v>4</v>
      </c>
      <c r="H1263">
        <v>1</v>
      </c>
      <c r="I1263">
        <v>0</v>
      </c>
      <c r="J1263">
        <v>0</v>
      </c>
      <c r="K1263">
        <v>0</v>
      </c>
      <c r="L1263">
        <v>0</v>
      </c>
      <c r="M1263">
        <v>6</v>
      </c>
      <c r="P1263" s="4"/>
    </row>
    <row r="1264" spans="1:16" x14ac:dyDescent="0.3">
      <c r="A1264" t="s">
        <v>131</v>
      </c>
      <c r="B1264" t="s">
        <v>1219</v>
      </c>
      <c r="C1264">
        <v>0</v>
      </c>
      <c r="D1264">
        <v>1</v>
      </c>
      <c r="E1264">
        <v>3</v>
      </c>
      <c r="F1264">
        <v>0</v>
      </c>
      <c r="G1264">
        <v>0</v>
      </c>
      <c r="H1264">
        <v>0</v>
      </c>
      <c r="I1264">
        <v>0</v>
      </c>
      <c r="J1264">
        <v>0</v>
      </c>
      <c r="K1264">
        <v>0</v>
      </c>
      <c r="L1264">
        <v>0</v>
      </c>
      <c r="M1264">
        <v>4</v>
      </c>
      <c r="P1264" s="3"/>
    </row>
    <row r="1265" spans="1:16" x14ac:dyDescent="0.3">
      <c r="A1265" t="s">
        <v>131</v>
      </c>
      <c r="B1265" t="s">
        <v>1220</v>
      </c>
      <c r="C1265">
        <v>0</v>
      </c>
      <c r="D1265">
        <v>9</v>
      </c>
      <c r="E1265">
        <v>12</v>
      </c>
      <c r="F1265">
        <v>0</v>
      </c>
      <c r="G1265">
        <v>0</v>
      </c>
      <c r="H1265">
        <v>0</v>
      </c>
      <c r="I1265">
        <v>0</v>
      </c>
      <c r="J1265">
        <v>0</v>
      </c>
      <c r="K1265">
        <v>0</v>
      </c>
      <c r="L1265">
        <v>0</v>
      </c>
      <c r="M1265">
        <v>21</v>
      </c>
      <c r="P1265" s="4"/>
    </row>
    <row r="1266" spans="1:16" x14ac:dyDescent="0.3">
      <c r="A1266" t="s">
        <v>136</v>
      </c>
      <c r="B1266" t="s">
        <v>1220</v>
      </c>
      <c r="C1266">
        <v>0</v>
      </c>
      <c r="D1266">
        <v>0</v>
      </c>
      <c r="E1266">
        <v>0</v>
      </c>
      <c r="F1266">
        <v>0</v>
      </c>
      <c r="G1266">
        <v>0</v>
      </c>
      <c r="H1266">
        <v>0</v>
      </c>
      <c r="I1266">
        <v>0</v>
      </c>
      <c r="J1266">
        <v>0</v>
      </c>
      <c r="K1266">
        <v>6</v>
      </c>
      <c r="L1266">
        <v>27</v>
      </c>
      <c r="M1266">
        <v>33</v>
      </c>
      <c r="P1266" s="3"/>
    </row>
    <row r="1267" spans="1:16" x14ac:dyDescent="0.3">
      <c r="A1267" t="s">
        <v>181</v>
      </c>
      <c r="B1267" t="s">
        <v>1220</v>
      </c>
      <c r="C1267">
        <v>0</v>
      </c>
      <c r="D1267">
        <v>0</v>
      </c>
      <c r="E1267">
        <v>0</v>
      </c>
      <c r="F1267">
        <v>3</v>
      </c>
      <c r="G1267">
        <v>0</v>
      </c>
      <c r="H1267">
        <v>0</v>
      </c>
      <c r="I1267">
        <v>0</v>
      </c>
      <c r="J1267">
        <v>7</v>
      </c>
      <c r="K1267">
        <v>0</v>
      </c>
      <c r="L1267">
        <v>0</v>
      </c>
      <c r="M1267">
        <v>10</v>
      </c>
      <c r="P1267" s="4"/>
    </row>
    <row r="1268" spans="1:16" x14ac:dyDescent="0.3">
      <c r="A1268" t="s">
        <v>131</v>
      </c>
      <c r="B1268" t="s">
        <v>1221</v>
      </c>
      <c r="C1268">
        <v>0</v>
      </c>
      <c r="D1268">
        <v>0</v>
      </c>
      <c r="E1268">
        <v>0</v>
      </c>
      <c r="F1268">
        <v>0</v>
      </c>
      <c r="G1268">
        <v>0</v>
      </c>
      <c r="H1268">
        <v>0</v>
      </c>
      <c r="I1268">
        <v>1</v>
      </c>
      <c r="J1268">
        <v>6</v>
      </c>
      <c r="K1268">
        <v>11</v>
      </c>
      <c r="L1268">
        <v>3</v>
      </c>
      <c r="M1268">
        <v>21</v>
      </c>
      <c r="P1268" s="3"/>
    </row>
    <row r="1269" spans="1:16" x14ac:dyDescent="0.3">
      <c r="A1269" t="s">
        <v>136</v>
      </c>
      <c r="B1269" t="s">
        <v>1221</v>
      </c>
      <c r="C1269">
        <v>0</v>
      </c>
      <c r="D1269">
        <v>0</v>
      </c>
      <c r="E1269">
        <v>0</v>
      </c>
      <c r="F1269">
        <v>0</v>
      </c>
      <c r="G1269">
        <v>0</v>
      </c>
      <c r="H1269">
        <v>0</v>
      </c>
      <c r="I1269">
        <v>1</v>
      </c>
      <c r="J1269">
        <v>0</v>
      </c>
      <c r="K1269">
        <v>0</v>
      </c>
      <c r="L1269">
        <v>0</v>
      </c>
      <c r="M1269">
        <v>1</v>
      </c>
      <c r="P1269" s="4"/>
    </row>
    <row r="1270" spans="1:16" x14ac:dyDescent="0.3">
      <c r="A1270" t="s">
        <v>131</v>
      </c>
      <c r="B1270" t="s">
        <v>1222</v>
      </c>
      <c r="C1270">
        <v>0</v>
      </c>
      <c r="D1270">
        <v>0</v>
      </c>
      <c r="E1270">
        <v>0</v>
      </c>
      <c r="F1270">
        <v>9</v>
      </c>
      <c r="G1270">
        <v>38</v>
      </c>
      <c r="H1270">
        <v>22</v>
      </c>
      <c r="I1270">
        <v>24</v>
      </c>
      <c r="J1270">
        <v>132</v>
      </c>
      <c r="K1270">
        <v>171</v>
      </c>
      <c r="L1270">
        <v>59</v>
      </c>
      <c r="M1270">
        <v>455</v>
      </c>
      <c r="P1270" s="3"/>
    </row>
    <row r="1271" spans="1:16" x14ac:dyDescent="0.3">
      <c r="A1271" t="s">
        <v>181</v>
      </c>
      <c r="B1271" t="s">
        <v>1223</v>
      </c>
      <c r="C1271">
        <v>0</v>
      </c>
      <c r="D1271">
        <v>0</v>
      </c>
      <c r="E1271">
        <v>0</v>
      </c>
      <c r="F1271">
        <v>0</v>
      </c>
      <c r="G1271">
        <v>0</v>
      </c>
      <c r="H1271">
        <v>0</v>
      </c>
      <c r="I1271">
        <v>0</v>
      </c>
      <c r="J1271">
        <v>0</v>
      </c>
      <c r="K1271">
        <v>1</v>
      </c>
      <c r="L1271">
        <v>8</v>
      </c>
      <c r="M1271">
        <v>9</v>
      </c>
      <c r="P1271" s="4"/>
    </row>
    <row r="1272" spans="1:16" x14ac:dyDescent="0.3">
      <c r="A1272" t="s">
        <v>131</v>
      </c>
      <c r="B1272" t="s">
        <v>1224</v>
      </c>
      <c r="C1272">
        <v>0</v>
      </c>
      <c r="D1272">
        <v>5</v>
      </c>
      <c r="E1272">
        <v>22</v>
      </c>
      <c r="F1272">
        <v>0</v>
      </c>
      <c r="G1272">
        <v>0</v>
      </c>
      <c r="H1272">
        <v>0</v>
      </c>
      <c r="I1272">
        <v>0</v>
      </c>
      <c r="J1272">
        <v>0</v>
      </c>
      <c r="K1272">
        <v>0</v>
      </c>
      <c r="L1272">
        <v>0</v>
      </c>
      <c r="M1272">
        <v>27</v>
      </c>
      <c r="P1272" s="3"/>
    </row>
    <row r="1273" spans="1:16" x14ac:dyDescent="0.3">
      <c r="A1273" t="s">
        <v>131</v>
      </c>
      <c r="B1273" t="s">
        <v>1225</v>
      </c>
      <c r="C1273">
        <v>0</v>
      </c>
      <c r="D1273">
        <v>2</v>
      </c>
      <c r="E1273">
        <v>3</v>
      </c>
      <c r="F1273">
        <v>0</v>
      </c>
      <c r="G1273">
        <v>0</v>
      </c>
      <c r="H1273">
        <v>0</v>
      </c>
      <c r="I1273">
        <v>0</v>
      </c>
      <c r="J1273">
        <v>0</v>
      </c>
      <c r="K1273">
        <v>0</v>
      </c>
      <c r="L1273">
        <v>0</v>
      </c>
      <c r="M1273">
        <v>5</v>
      </c>
      <c r="P1273" s="4"/>
    </row>
    <row r="1274" spans="1:16" x14ac:dyDescent="0.3">
      <c r="A1274" t="s">
        <v>131</v>
      </c>
      <c r="B1274" t="s">
        <v>1226</v>
      </c>
      <c r="C1274">
        <v>0</v>
      </c>
      <c r="D1274">
        <v>1</v>
      </c>
      <c r="E1274">
        <v>282</v>
      </c>
      <c r="F1274">
        <v>329</v>
      </c>
      <c r="G1274">
        <v>306</v>
      </c>
      <c r="H1274">
        <v>212</v>
      </c>
      <c r="I1274">
        <v>329</v>
      </c>
      <c r="J1274">
        <v>398</v>
      </c>
      <c r="K1274">
        <v>574</v>
      </c>
      <c r="L1274">
        <v>204</v>
      </c>
      <c r="M1274">
        <v>2635</v>
      </c>
      <c r="P1274" s="3"/>
    </row>
    <row r="1275" spans="1:16" x14ac:dyDescent="0.3">
      <c r="A1275" t="s">
        <v>131</v>
      </c>
      <c r="B1275" t="s">
        <v>1227</v>
      </c>
      <c r="C1275">
        <v>0</v>
      </c>
      <c r="D1275">
        <v>4</v>
      </c>
      <c r="E1275">
        <v>10</v>
      </c>
      <c r="F1275">
        <v>8</v>
      </c>
      <c r="G1275">
        <v>39</v>
      </c>
      <c r="H1275">
        <v>1</v>
      </c>
      <c r="I1275">
        <v>27</v>
      </c>
      <c r="J1275">
        <v>0</v>
      </c>
      <c r="K1275">
        <v>0</v>
      </c>
      <c r="L1275">
        <v>0</v>
      </c>
      <c r="M1275">
        <v>89</v>
      </c>
      <c r="P1275" s="4"/>
    </row>
    <row r="1276" spans="1:16" x14ac:dyDescent="0.3">
      <c r="A1276" t="s">
        <v>131</v>
      </c>
      <c r="B1276" t="s">
        <v>1228</v>
      </c>
      <c r="C1276">
        <v>4</v>
      </c>
      <c r="D1276">
        <v>4</v>
      </c>
      <c r="E1276">
        <v>8</v>
      </c>
      <c r="F1276">
        <v>4</v>
      </c>
      <c r="G1276">
        <v>0</v>
      </c>
      <c r="H1276">
        <v>0</v>
      </c>
      <c r="I1276">
        <v>0</v>
      </c>
      <c r="J1276">
        <v>0</v>
      </c>
      <c r="K1276">
        <v>0</v>
      </c>
      <c r="L1276">
        <v>0</v>
      </c>
      <c r="M1276">
        <v>20</v>
      </c>
      <c r="P1276" s="3"/>
    </row>
    <row r="1277" spans="1:16" x14ac:dyDescent="0.3">
      <c r="A1277" t="s">
        <v>136</v>
      </c>
      <c r="B1277" t="s">
        <v>1228</v>
      </c>
      <c r="C1277">
        <v>0</v>
      </c>
      <c r="D1277">
        <v>0</v>
      </c>
      <c r="E1277">
        <v>13</v>
      </c>
      <c r="F1277">
        <v>15</v>
      </c>
      <c r="G1277">
        <v>0</v>
      </c>
      <c r="H1277">
        <v>0</v>
      </c>
      <c r="I1277">
        <v>0</v>
      </c>
      <c r="J1277">
        <v>0</v>
      </c>
      <c r="K1277">
        <v>0</v>
      </c>
      <c r="L1277">
        <v>0</v>
      </c>
      <c r="M1277">
        <v>28</v>
      </c>
      <c r="P1277" s="4"/>
    </row>
    <row r="1278" spans="1:16" x14ac:dyDescent="0.3">
      <c r="A1278" t="s">
        <v>131</v>
      </c>
      <c r="B1278" t="s">
        <v>1229</v>
      </c>
      <c r="C1278">
        <v>0</v>
      </c>
      <c r="D1278">
        <v>0</v>
      </c>
      <c r="E1278">
        <v>1</v>
      </c>
      <c r="F1278">
        <v>0</v>
      </c>
      <c r="G1278">
        <v>0</v>
      </c>
      <c r="H1278">
        <v>0</v>
      </c>
      <c r="I1278">
        <v>0</v>
      </c>
      <c r="J1278">
        <v>0</v>
      </c>
      <c r="K1278">
        <v>0</v>
      </c>
      <c r="L1278">
        <v>0</v>
      </c>
      <c r="M1278">
        <v>1</v>
      </c>
      <c r="P1278" s="3"/>
    </row>
    <row r="1279" spans="1:16" x14ac:dyDescent="0.3">
      <c r="A1279" t="s">
        <v>131</v>
      </c>
      <c r="B1279" t="s">
        <v>1230</v>
      </c>
      <c r="C1279">
        <v>0</v>
      </c>
      <c r="D1279">
        <v>49</v>
      </c>
      <c r="E1279">
        <v>79</v>
      </c>
      <c r="F1279">
        <v>7</v>
      </c>
      <c r="G1279">
        <v>0</v>
      </c>
      <c r="H1279">
        <v>0</v>
      </c>
      <c r="I1279">
        <v>0</v>
      </c>
      <c r="J1279">
        <v>0</v>
      </c>
      <c r="K1279">
        <v>0</v>
      </c>
      <c r="L1279">
        <v>0</v>
      </c>
      <c r="M1279">
        <v>135</v>
      </c>
      <c r="P1279" s="4"/>
    </row>
    <row r="1280" spans="1:16" x14ac:dyDescent="0.3">
      <c r="A1280" t="s">
        <v>136</v>
      </c>
      <c r="B1280" t="s">
        <v>1230</v>
      </c>
      <c r="C1280">
        <v>2</v>
      </c>
      <c r="D1280">
        <v>0</v>
      </c>
      <c r="E1280">
        <v>0</v>
      </c>
      <c r="F1280">
        <v>0</v>
      </c>
      <c r="G1280">
        <v>0</v>
      </c>
      <c r="H1280">
        <v>0</v>
      </c>
      <c r="I1280">
        <v>0</v>
      </c>
      <c r="J1280">
        <v>0</v>
      </c>
      <c r="K1280">
        <v>0</v>
      </c>
      <c r="L1280">
        <v>0</v>
      </c>
      <c r="M1280">
        <v>2</v>
      </c>
      <c r="P1280" s="3"/>
    </row>
    <row r="1281" spans="1:16" x14ac:dyDescent="0.3">
      <c r="A1281" t="s">
        <v>131</v>
      </c>
      <c r="B1281" t="s">
        <v>1231</v>
      </c>
      <c r="C1281">
        <v>0</v>
      </c>
      <c r="D1281">
        <v>0</v>
      </c>
      <c r="E1281">
        <v>59</v>
      </c>
      <c r="F1281">
        <v>59</v>
      </c>
      <c r="G1281">
        <v>15</v>
      </c>
      <c r="H1281">
        <v>2</v>
      </c>
      <c r="I1281">
        <v>1</v>
      </c>
      <c r="J1281">
        <v>10</v>
      </c>
      <c r="K1281">
        <v>25</v>
      </c>
      <c r="L1281">
        <v>2</v>
      </c>
      <c r="M1281">
        <v>173</v>
      </c>
      <c r="P1281" s="4"/>
    </row>
    <row r="1282" spans="1:16" x14ac:dyDescent="0.3">
      <c r="A1282" t="s">
        <v>131</v>
      </c>
      <c r="B1282" t="s">
        <v>1232</v>
      </c>
      <c r="C1282">
        <v>107</v>
      </c>
      <c r="D1282">
        <v>846</v>
      </c>
      <c r="E1282">
        <v>1466</v>
      </c>
      <c r="F1282">
        <v>2381</v>
      </c>
      <c r="G1282">
        <v>1971</v>
      </c>
      <c r="H1282">
        <v>858</v>
      </c>
      <c r="I1282">
        <v>1243</v>
      </c>
      <c r="J1282">
        <v>2135</v>
      </c>
      <c r="K1282">
        <v>3319</v>
      </c>
      <c r="L1282">
        <v>1402</v>
      </c>
      <c r="M1282">
        <v>15728</v>
      </c>
      <c r="P1282" s="3"/>
    </row>
    <row r="1283" spans="1:16" x14ac:dyDescent="0.3">
      <c r="A1283" t="s">
        <v>136</v>
      </c>
      <c r="B1283" t="s">
        <v>1232</v>
      </c>
      <c r="C1283">
        <v>0</v>
      </c>
      <c r="D1283">
        <v>2</v>
      </c>
      <c r="E1283">
        <v>3</v>
      </c>
      <c r="F1283">
        <v>1</v>
      </c>
      <c r="G1283">
        <v>1</v>
      </c>
      <c r="H1283">
        <v>0</v>
      </c>
      <c r="I1283">
        <v>0</v>
      </c>
      <c r="J1283">
        <v>0</v>
      </c>
      <c r="K1283">
        <v>0</v>
      </c>
      <c r="L1283">
        <v>0</v>
      </c>
      <c r="M1283">
        <v>7</v>
      </c>
      <c r="P1283" s="4"/>
    </row>
    <row r="1284" spans="1:16" x14ac:dyDescent="0.3">
      <c r="A1284" t="s">
        <v>131</v>
      </c>
      <c r="B1284" t="s">
        <v>1233</v>
      </c>
      <c r="C1284">
        <v>0</v>
      </c>
      <c r="D1284">
        <v>0</v>
      </c>
      <c r="E1284">
        <v>0</v>
      </c>
      <c r="F1284">
        <v>0</v>
      </c>
      <c r="G1284">
        <v>0</v>
      </c>
      <c r="H1284">
        <v>0</v>
      </c>
      <c r="I1284">
        <v>35</v>
      </c>
      <c r="J1284">
        <v>193</v>
      </c>
      <c r="K1284">
        <v>256</v>
      </c>
      <c r="L1284">
        <v>138</v>
      </c>
      <c r="M1284">
        <v>622</v>
      </c>
      <c r="P1284" s="3"/>
    </row>
    <row r="1285" spans="1:16" x14ac:dyDescent="0.3">
      <c r="A1285" t="s">
        <v>131</v>
      </c>
      <c r="B1285" t="s">
        <v>1234</v>
      </c>
      <c r="C1285">
        <v>0</v>
      </c>
      <c r="D1285">
        <v>0</v>
      </c>
      <c r="E1285">
        <v>1</v>
      </c>
      <c r="F1285">
        <v>0</v>
      </c>
      <c r="G1285">
        <v>0</v>
      </c>
      <c r="H1285">
        <v>0</v>
      </c>
      <c r="I1285">
        <v>0</v>
      </c>
      <c r="J1285">
        <v>0</v>
      </c>
      <c r="K1285">
        <v>0</v>
      </c>
      <c r="L1285">
        <v>0</v>
      </c>
      <c r="M1285">
        <v>1</v>
      </c>
      <c r="P1285" s="4"/>
    </row>
    <row r="1286" spans="1:16" x14ac:dyDescent="0.3">
      <c r="A1286" t="s">
        <v>131</v>
      </c>
      <c r="B1286" t="s">
        <v>1235</v>
      </c>
      <c r="C1286">
        <v>0</v>
      </c>
      <c r="D1286">
        <v>0</v>
      </c>
      <c r="E1286">
        <v>0</v>
      </c>
      <c r="F1286">
        <v>0</v>
      </c>
      <c r="G1286">
        <v>0</v>
      </c>
      <c r="H1286">
        <v>0</v>
      </c>
      <c r="I1286">
        <v>26</v>
      </c>
      <c r="J1286">
        <v>1355</v>
      </c>
      <c r="K1286">
        <v>4807</v>
      </c>
      <c r="L1286">
        <v>3091</v>
      </c>
      <c r="M1286">
        <v>9279</v>
      </c>
      <c r="P1286" s="3"/>
    </row>
    <row r="1287" spans="1:16" x14ac:dyDescent="0.3">
      <c r="A1287" t="s">
        <v>131</v>
      </c>
      <c r="B1287" t="s">
        <v>1236</v>
      </c>
      <c r="C1287">
        <v>0</v>
      </c>
      <c r="D1287">
        <v>0</v>
      </c>
      <c r="E1287">
        <v>0</v>
      </c>
      <c r="F1287">
        <v>0</v>
      </c>
      <c r="G1287">
        <v>0</v>
      </c>
      <c r="H1287">
        <v>0</v>
      </c>
      <c r="I1287">
        <v>67</v>
      </c>
      <c r="J1287">
        <v>248</v>
      </c>
      <c r="K1287">
        <v>181</v>
      </c>
      <c r="L1287">
        <v>142</v>
      </c>
      <c r="M1287">
        <v>638</v>
      </c>
      <c r="P1287" s="4"/>
    </row>
    <row r="1288" spans="1:16" x14ac:dyDescent="0.3">
      <c r="A1288" t="s">
        <v>131</v>
      </c>
      <c r="B1288" t="s">
        <v>1237</v>
      </c>
      <c r="C1288">
        <v>0</v>
      </c>
      <c r="D1288">
        <v>0</v>
      </c>
      <c r="E1288">
        <v>0</v>
      </c>
      <c r="F1288">
        <v>0</v>
      </c>
      <c r="G1288">
        <v>0</v>
      </c>
      <c r="H1288">
        <v>0</v>
      </c>
      <c r="I1288">
        <v>0</v>
      </c>
      <c r="J1288">
        <v>0</v>
      </c>
      <c r="K1288">
        <v>11</v>
      </c>
      <c r="L1288">
        <v>22</v>
      </c>
      <c r="M1288">
        <v>33</v>
      </c>
      <c r="P1288" s="3"/>
    </row>
    <row r="1289" spans="1:16" x14ac:dyDescent="0.3">
      <c r="A1289" t="s">
        <v>131</v>
      </c>
      <c r="B1289" t="s">
        <v>1238</v>
      </c>
      <c r="C1289">
        <v>0</v>
      </c>
      <c r="D1289">
        <v>0</v>
      </c>
      <c r="E1289">
        <v>0</v>
      </c>
      <c r="F1289">
        <v>74</v>
      </c>
      <c r="G1289">
        <v>183</v>
      </c>
      <c r="H1289">
        <v>74</v>
      </c>
      <c r="I1289">
        <v>130</v>
      </c>
      <c r="J1289">
        <v>407</v>
      </c>
      <c r="K1289">
        <v>831</v>
      </c>
      <c r="L1289">
        <v>704</v>
      </c>
      <c r="M1289">
        <v>2403</v>
      </c>
      <c r="P1289" s="4"/>
    </row>
    <row r="1290" spans="1:16" x14ac:dyDescent="0.3">
      <c r="A1290" t="s">
        <v>136</v>
      </c>
      <c r="B1290" t="s">
        <v>1239</v>
      </c>
      <c r="C1290">
        <v>0</v>
      </c>
      <c r="D1290">
        <v>0</v>
      </c>
      <c r="E1290">
        <v>11</v>
      </c>
      <c r="F1290">
        <v>0</v>
      </c>
      <c r="G1290">
        <v>0</v>
      </c>
      <c r="H1290">
        <v>0</v>
      </c>
      <c r="I1290">
        <v>0</v>
      </c>
      <c r="J1290">
        <v>0</v>
      </c>
      <c r="K1290">
        <v>0</v>
      </c>
      <c r="L1290">
        <v>0</v>
      </c>
      <c r="M1290">
        <v>11</v>
      </c>
      <c r="P1290" s="3"/>
    </row>
    <row r="1291" spans="1:16" x14ac:dyDescent="0.3">
      <c r="A1291" t="s">
        <v>131</v>
      </c>
      <c r="B1291" t="s">
        <v>1240</v>
      </c>
      <c r="C1291">
        <v>0</v>
      </c>
      <c r="D1291">
        <v>0</v>
      </c>
      <c r="E1291">
        <v>0</v>
      </c>
      <c r="F1291">
        <v>0</v>
      </c>
      <c r="G1291">
        <v>16</v>
      </c>
      <c r="H1291">
        <v>34</v>
      </c>
      <c r="I1291">
        <v>12</v>
      </c>
      <c r="J1291">
        <v>9</v>
      </c>
      <c r="K1291">
        <v>39</v>
      </c>
      <c r="L1291">
        <v>37</v>
      </c>
      <c r="M1291">
        <v>147</v>
      </c>
      <c r="P1291" s="4"/>
    </row>
    <row r="1292" spans="1:16" x14ac:dyDescent="0.3">
      <c r="A1292" t="s">
        <v>133</v>
      </c>
      <c r="B1292" t="s">
        <v>1241</v>
      </c>
      <c r="C1292">
        <v>0</v>
      </c>
      <c r="D1292">
        <v>0</v>
      </c>
      <c r="E1292">
        <v>0</v>
      </c>
      <c r="F1292">
        <v>0</v>
      </c>
      <c r="G1292">
        <v>0</v>
      </c>
      <c r="H1292">
        <v>0</v>
      </c>
      <c r="I1292">
        <v>0</v>
      </c>
      <c r="J1292">
        <v>0</v>
      </c>
      <c r="K1292">
        <v>0</v>
      </c>
      <c r="L1292">
        <v>1</v>
      </c>
      <c r="M1292">
        <v>1</v>
      </c>
      <c r="P1292" s="3"/>
    </row>
    <row r="1293" spans="1:16" x14ac:dyDescent="0.3">
      <c r="A1293" t="s">
        <v>131</v>
      </c>
      <c r="B1293" t="s">
        <v>1242</v>
      </c>
      <c r="C1293">
        <v>0</v>
      </c>
      <c r="D1293">
        <v>0</v>
      </c>
      <c r="E1293">
        <v>0</v>
      </c>
      <c r="F1293">
        <v>0</v>
      </c>
      <c r="G1293">
        <v>0</v>
      </c>
      <c r="H1293">
        <v>34</v>
      </c>
      <c r="I1293">
        <v>100</v>
      </c>
      <c r="J1293">
        <v>140</v>
      </c>
      <c r="K1293">
        <v>36</v>
      </c>
      <c r="L1293">
        <v>20</v>
      </c>
      <c r="M1293">
        <v>330</v>
      </c>
      <c r="P1293" s="4"/>
    </row>
    <row r="1294" spans="1:16" x14ac:dyDescent="0.3">
      <c r="A1294" t="s">
        <v>131</v>
      </c>
      <c r="B1294" t="s">
        <v>1243</v>
      </c>
      <c r="C1294">
        <v>0</v>
      </c>
      <c r="D1294">
        <v>0</v>
      </c>
      <c r="E1294">
        <v>0</v>
      </c>
      <c r="F1294">
        <v>0</v>
      </c>
      <c r="G1294">
        <v>0</v>
      </c>
      <c r="H1294">
        <v>0</v>
      </c>
      <c r="I1294">
        <v>0</v>
      </c>
      <c r="J1294">
        <v>1</v>
      </c>
      <c r="K1294">
        <v>92</v>
      </c>
      <c r="L1294">
        <v>22</v>
      </c>
      <c r="M1294">
        <v>115</v>
      </c>
      <c r="P1294" s="3"/>
    </row>
    <row r="1295" spans="1:16" x14ac:dyDescent="0.3">
      <c r="A1295" t="s">
        <v>131</v>
      </c>
      <c r="B1295" t="s">
        <v>1244</v>
      </c>
      <c r="C1295">
        <v>0</v>
      </c>
      <c r="D1295">
        <v>0</v>
      </c>
      <c r="E1295">
        <v>0</v>
      </c>
      <c r="F1295">
        <v>35</v>
      </c>
      <c r="G1295">
        <v>30</v>
      </c>
      <c r="H1295">
        <v>19</v>
      </c>
      <c r="I1295">
        <v>3</v>
      </c>
      <c r="J1295">
        <v>6</v>
      </c>
      <c r="K1295">
        <v>123</v>
      </c>
      <c r="L1295">
        <v>162</v>
      </c>
      <c r="M1295">
        <v>378</v>
      </c>
      <c r="P1295" s="4"/>
    </row>
    <row r="1296" spans="1:16" x14ac:dyDescent="0.3">
      <c r="A1296" t="s">
        <v>131</v>
      </c>
      <c r="B1296" t="s">
        <v>1245</v>
      </c>
      <c r="C1296">
        <v>0</v>
      </c>
      <c r="D1296">
        <v>0</v>
      </c>
      <c r="E1296">
        <v>0</v>
      </c>
      <c r="F1296">
        <v>0</v>
      </c>
      <c r="G1296">
        <v>4</v>
      </c>
      <c r="H1296">
        <v>0</v>
      </c>
      <c r="I1296">
        <v>0</v>
      </c>
      <c r="J1296">
        <v>2</v>
      </c>
      <c r="K1296">
        <v>10</v>
      </c>
      <c r="L1296">
        <v>2</v>
      </c>
      <c r="M1296">
        <v>18</v>
      </c>
      <c r="P1296" s="3"/>
    </row>
    <row r="1297" spans="1:16" x14ac:dyDescent="0.3">
      <c r="A1297" t="s">
        <v>136</v>
      </c>
      <c r="B1297" t="s">
        <v>1246</v>
      </c>
      <c r="C1297">
        <v>0</v>
      </c>
      <c r="D1297">
        <v>0</v>
      </c>
      <c r="E1297">
        <v>1</v>
      </c>
      <c r="F1297">
        <v>0</v>
      </c>
      <c r="G1297">
        <v>0</v>
      </c>
      <c r="H1297">
        <v>0</v>
      </c>
      <c r="I1297">
        <v>0</v>
      </c>
      <c r="J1297">
        <v>0</v>
      </c>
      <c r="K1297">
        <v>0</v>
      </c>
      <c r="L1297">
        <v>0</v>
      </c>
      <c r="M1297">
        <v>1</v>
      </c>
      <c r="P1297" s="4"/>
    </row>
    <row r="1298" spans="1:16" x14ac:dyDescent="0.3">
      <c r="A1298" t="s">
        <v>131</v>
      </c>
      <c r="B1298" t="s">
        <v>1247</v>
      </c>
      <c r="C1298">
        <v>0</v>
      </c>
      <c r="D1298">
        <v>0</v>
      </c>
      <c r="E1298">
        <v>0</v>
      </c>
      <c r="F1298">
        <v>0</v>
      </c>
      <c r="G1298">
        <v>0</v>
      </c>
      <c r="H1298">
        <v>0</v>
      </c>
      <c r="I1298">
        <v>0</v>
      </c>
      <c r="J1298">
        <v>2</v>
      </c>
      <c r="K1298">
        <v>3</v>
      </c>
      <c r="L1298">
        <v>2</v>
      </c>
      <c r="M1298">
        <v>7</v>
      </c>
      <c r="P1298" s="3"/>
    </row>
    <row r="1299" spans="1:16" x14ac:dyDescent="0.3">
      <c r="A1299" t="s">
        <v>131</v>
      </c>
      <c r="B1299" t="s">
        <v>1248</v>
      </c>
      <c r="C1299">
        <v>1</v>
      </c>
      <c r="D1299">
        <v>1</v>
      </c>
      <c r="E1299">
        <v>1</v>
      </c>
      <c r="F1299">
        <v>0</v>
      </c>
      <c r="G1299">
        <v>0</v>
      </c>
      <c r="H1299">
        <v>0</v>
      </c>
      <c r="I1299">
        <v>0</v>
      </c>
      <c r="J1299">
        <v>0</v>
      </c>
      <c r="K1299">
        <v>0</v>
      </c>
      <c r="L1299">
        <v>0</v>
      </c>
      <c r="M1299">
        <v>3</v>
      </c>
      <c r="P1299" s="4"/>
    </row>
    <row r="1300" spans="1:16" x14ac:dyDescent="0.3">
      <c r="A1300" t="s">
        <v>136</v>
      </c>
      <c r="B1300" t="s">
        <v>1248</v>
      </c>
      <c r="C1300">
        <v>0</v>
      </c>
      <c r="D1300">
        <v>2</v>
      </c>
      <c r="E1300">
        <v>1</v>
      </c>
      <c r="F1300">
        <v>0</v>
      </c>
      <c r="G1300">
        <v>0</v>
      </c>
      <c r="H1300">
        <v>0</v>
      </c>
      <c r="I1300">
        <v>0</v>
      </c>
      <c r="J1300">
        <v>0</v>
      </c>
      <c r="K1300">
        <v>0</v>
      </c>
      <c r="L1300">
        <v>0</v>
      </c>
      <c r="M1300">
        <v>3</v>
      </c>
      <c r="P1300" s="3"/>
    </row>
    <row r="1301" spans="1:16" x14ac:dyDescent="0.3">
      <c r="A1301" t="s">
        <v>131</v>
      </c>
      <c r="B1301" t="s">
        <v>1249</v>
      </c>
      <c r="C1301">
        <v>0</v>
      </c>
      <c r="D1301">
        <v>3</v>
      </c>
      <c r="E1301">
        <v>26</v>
      </c>
      <c r="F1301">
        <v>30</v>
      </c>
      <c r="G1301">
        <v>16</v>
      </c>
      <c r="H1301">
        <v>2</v>
      </c>
      <c r="I1301">
        <v>0</v>
      </c>
      <c r="J1301">
        <v>0</v>
      </c>
      <c r="K1301">
        <v>0</v>
      </c>
      <c r="L1301">
        <v>0</v>
      </c>
      <c r="M1301">
        <v>77</v>
      </c>
      <c r="P1301" s="4"/>
    </row>
    <row r="1302" spans="1:16" x14ac:dyDescent="0.3">
      <c r="A1302" t="s">
        <v>131</v>
      </c>
      <c r="B1302" t="s">
        <v>1250</v>
      </c>
      <c r="C1302">
        <v>0</v>
      </c>
      <c r="D1302">
        <v>0</v>
      </c>
      <c r="E1302">
        <v>0</v>
      </c>
      <c r="F1302">
        <v>21</v>
      </c>
      <c r="G1302">
        <v>5</v>
      </c>
      <c r="H1302">
        <v>6</v>
      </c>
      <c r="I1302">
        <v>0</v>
      </c>
      <c r="J1302">
        <v>0</v>
      </c>
      <c r="K1302">
        <v>0</v>
      </c>
      <c r="L1302">
        <v>0</v>
      </c>
      <c r="M1302">
        <v>32</v>
      </c>
      <c r="P1302" s="3"/>
    </row>
    <row r="1303" spans="1:16" x14ac:dyDescent="0.3">
      <c r="A1303" t="s">
        <v>136</v>
      </c>
      <c r="B1303" t="s">
        <v>1251</v>
      </c>
      <c r="C1303">
        <v>0</v>
      </c>
      <c r="D1303">
        <v>2</v>
      </c>
      <c r="E1303">
        <v>2</v>
      </c>
      <c r="F1303">
        <v>0</v>
      </c>
      <c r="G1303">
        <v>0</v>
      </c>
      <c r="H1303">
        <v>1</v>
      </c>
      <c r="I1303">
        <v>0</v>
      </c>
      <c r="J1303">
        <v>0</v>
      </c>
      <c r="K1303">
        <v>0</v>
      </c>
      <c r="L1303">
        <v>0</v>
      </c>
      <c r="M1303">
        <v>5</v>
      </c>
      <c r="P1303" s="4"/>
    </row>
    <row r="1304" spans="1:16" x14ac:dyDescent="0.3">
      <c r="A1304" t="s">
        <v>136</v>
      </c>
      <c r="B1304" t="s">
        <v>1252</v>
      </c>
      <c r="C1304">
        <v>0</v>
      </c>
      <c r="D1304">
        <v>0</v>
      </c>
      <c r="E1304">
        <v>0</v>
      </c>
      <c r="F1304">
        <v>0</v>
      </c>
      <c r="G1304">
        <v>0</v>
      </c>
      <c r="H1304">
        <v>0</v>
      </c>
      <c r="I1304">
        <v>0</v>
      </c>
      <c r="J1304">
        <v>35</v>
      </c>
      <c r="K1304">
        <v>570</v>
      </c>
      <c r="L1304">
        <v>317</v>
      </c>
      <c r="M1304">
        <v>922</v>
      </c>
      <c r="P1304" s="3"/>
    </row>
    <row r="1305" spans="1:16" x14ac:dyDescent="0.3">
      <c r="A1305" t="s">
        <v>131</v>
      </c>
      <c r="B1305" t="s">
        <v>1253</v>
      </c>
      <c r="C1305">
        <v>0</v>
      </c>
      <c r="D1305">
        <v>0</v>
      </c>
      <c r="E1305">
        <v>0</v>
      </c>
      <c r="F1305">
        <v>0</v>
      </c>
      <c r="G1305">
        <v>0</v>
      </c>
      <c r="H1305">
        <v>0</v>
      </c>
      <c r="I1305">
        <v>0</v>
      </c>
      <c r="J1305">
        <v>0</v>
      </c>
      <c r="K1305">
        <v>0</v>
      </c>
      <c r="L1305">
        <v>3</v>
      </c>
      <c r="M1305">
        <v>3</v>
      </c>
      <c r="P1305" s="4"/>
    </row>
    <row r="1306" spans="1:16" x14ac:dyDescent="0.3">
      <c r="A1306" t="s">
        <v>131</v>
      </c>
      <c r="B1306" t="s">
        <v>1254</v>
      </c>
      <c r="C1306">
        <v>0</v>
      </c>
      <c r="D1306">
        <v>6</v>
      </c>
      <c r="E1306">
        <v>44</v>
      </c>
      <c r="F1306">
        <v>151</v>
      </c>
      <c r="G1306">
        <v>290</v>
      </c>
      <c r="H1306">
        <v>191</v>
      </c>
      <c r="I1306">
        <v>113</v>
      </c>
      <c r="J1306">
        <v>446</v>
      </c>
      <c r="K1306">
        <v>1080</v>
      </c>
      <c r="L1306">
        <v>847</v>
      </c>
      <c r="M1306">
        <v>3168</v>
      </c>
      <c r="P1306" s="3"/>
    </row>
    <row r="1307" spans="1:16" x14ac:dyDescent="0.3">
      <c r="A1307" t="s">
        <v>131</v>
      </c>
      <c r="B1307" t="s">
        <v>1255</v>
      </c>
      <c r="C1307">
        <v>0</v>
      </c>
      <c r="D1307">
        <v>0</v>
      </c>
      <c r="E1307">
        <v>0</v>
      </c>
      <c r="F1307">
        <v>0</v>
      </c>
      <c r="G1307">
        <v>0</v>
      </c>
      <c r="H1307">
        <v>0</v>
      </c>
      <c r="I1307">
        <v>44</v>
      </c>
      <c r="J1307">
        <v>7</v>
      </c>
      <c r="K1307">
        <v>0</v>
      </c>
      <c r="L1307">
        <v>1</v>
      </c>
      <c r="M1307">
        <v>52</v>
      </c>
      <c r="P1307" s="4"/>
    </row>
    <row r="1308" spans="1:16" x14ac:dyDescent="0.3">
      <c r="A1308" t="s">
        <v>131</v>
      </c>
      <c r="B1308" t="s">
        <v>1256</v>
      </c>
      <c r="C1308">
        <v>2</v>
      </c>
      <c r="D1308">
        <v>77</v>
      </c>
      <c r="E1308">
        <v>22</v>
      </c>
      <c r="F1308">
        <v>5</v>
      </c>
      <c r="G1308">
        <v>0</v>
      </c>
      <c r="H1308">
        <v>1</v>
      </c>
      <c r="I1308">
        <v>0</v>
      </c>
      <c r="J1308">
        <v>0</v>
      </c>
      <c r="K1308">
        <v>0</v>
      </c>
      <c r="L1308">
        <v>0</v>
      </c>
      <c r="M1308">
        <v>107</v>
      </c>
      <c r="P1308" s="3"/>
    </row>
    <row r="1309" spans="1:16" x14ac:dyDescent="0.3">
      <c r="A1309" t="s">
        <v>133</v>
      </c>
      <c r="B1309" t="s">
        <v>1257</v>
      </c>
      <c r="C1309">
        <v>0</v>
      </c>
      <c r="D1309">
        <v>0</v>
      </c>
      <c r="E1309">
        <v>0</v>
      </c>
      <c r="F1309">
        <v>0</v>
      </c>
      <c r="G1309">
        <v>0</v>
      </c>
      <c r="H1309">
        <v>0</v>
      </c>
      <c r="I1309">
        <v>0</v>
      </c>
      <c r="J1309">
        <v>314</v>
      </c>
      <c r="K1309">
        <v>6910</v>
      </c>
      <c r="L1309">
        <v>7166</v>
      </c>
      <c r="M1309">
        <v>14390</v>
      </c>
      <c r="P1309" s="4"/>
    </row>
    <row r="1310" spans="1:16" x14ac:dyDescent="0.3">
      <c r="A1310" t="s">
        <v>131</v>
      </c>
      <c r="B1310" t="s">
        <v>1257</v>
      </c>
      <c r="C1310">
        <v>0</v>
      </c>
      <c r="D1310">
        <v>0</v>
      </c>
      <c r="E1310">
        <v>0</v>
      </c>
      <c r="F1310">
        <v>0</v>
      </c>
      <c r="G1310">
        <v>0</v>
      </c>
      <c r="H1310">
        <v>0</v>
      </c>
      <c r="I1310">
        <v>0</v>
      </c>
      <c r="J1310">
        <v>0</v>
      </c>
      <c r="K1310">
        <v>0</v>
      </c>
      <c r="L1310">
        <v>18</v>
      </c>
      <c r="M1310">
        <v>18</v>
      </c>
      <c r="P1310" s="3"/>
    </row>
    <row r="1311" spans="1:16" x14ac:dyDescent="0.3">
      <c r="A1311" t="s">
        <v>136</v>
      </c>
      <c r="B1311" t="s">
        <v>1257</v>
      </c>
      <c r="C1311">
        <v>0</v>
      </c>
      <c r="D1311">
        <v>0</v>
      </c>
      <c r="E1311">
        <v>0</v>
      </c>
      <c r="F1311">
        <v>0</v>
      </c>
      <c r="G1311">
        <v>0</v>
      </c>
      <c r="H1311">
        <v>0</v>
      </c>
      <c r="I1311">
        <v>0</v>
      </c>
      <c r="J1311">
        <v>0</v>
      </c>
      <c r="K1311">
        <v>0</v>
      </c>
      <c r="L1311">
        <v>2</v>
      </c>
      <c r="M1311">
        <v>2</v>
      </c>
      <c r="P1311" s="4"/>
    </row>
    <row r="1312" spans="1:16" x14ac:dyDescent="0.3">
      <c r="A1312" t="s">
        <v>133</v>
      </c>
      <c r="B1312" t="s">
        <v>1258</v>
      </c>
      <c r="C1312">
        <v>0</v>
      </c>
      <c r="D1312">
        <v>0</v>
      </c>
      <c r="E1312">
        <v>0</v>
      </c>
      <c r="F1312">
        <v>0</v>
      </c>
      <c r="G1312">
        <v>0</v>
      </c>
      <c r="H1312">
        <v>0</v>
      </c>
      <c r="I1312">
        <v>0</v>
      </c>
      <c r="J1312">
        <v>0</v>
      </c>
      <c r="K1312">
        <v>1</v>
      </c>
      <c r="L1312">
        <v>23</v>
      </c>
      <c r="M1312">
        <v>24</v>
      </c>
      <c r="P1312" s="3"/>
    </row>
    <row r="1313" spans="1:16" x14ac:dyDescent="0.3">
      <c r="A1313" t="s">
        <v>131</v>
      </c>
      <c r="B1313" t="s">
        <v>1259</v>
      </c>
      <c r="C1313">
        <v>0</v>
      </c>
      <c r="D1313">
        <v>0</v>
      </c>
      <c r="E1313">
        <v>0</v>
      </c>
      <c r="F1313">
        <v>0</v>
      </c>
      <c r="G1313">
        <v>0</v>
      </c>
      <c r="H1313">
        <v>0</v>
      </c>
      <c r="I1313">
        <v>0</v>
      </c>
      <c r="J1313">
        <v>13</v>
      </c>
      <c r="K1313">
        <v>80</v>
      </c>
      <c r="L1313">
        <v>20</v>
      </c>
      <c r="M1313">
        <v>113</v>
      </c>
      <c r="P1313" s="4"/>
    </row>
    <row r="1314" spans="1:16" x14ac:dyDescent="0.3">
      <c r="A1314" t="s">
        <v>131</v>
      </c>
      <c r="B1314" t="s">
        <v>1260</v>
      </c>
      <c r="C1314">
        <v>0</v>
      </c>
      <c r="D1314">
        <v>1</v>
      </c>
      <c r="E1314">
        <v>2</v>
      </c>
      <c r="F1314">
        <v>1</v>
      </c>
      <c r="G1314">
        <v>0</v>
      </c>
      <c r="H1314">
        <v>0</v>
      </c>
      <c r="I1314">
        <v>2</v>
      </c>
      <c r="J1314">
        <v>0</v>
      </c>
      <c r="K1314">
        <v>0</v>
      </c>
      <c r="L1314">
        <v>0</v>
      </c>
      <c r="M1314">
        <v>6</v>
      </c>
      <c r="P1314" s="3"/>
    </row>
    <row r="1315" spans="1:16" x14ac:dyDescent="0.3">
      <c r="A1315" t="s">
        <v>131</v>
      </c>
      <c r="B1315" t="s">
        <v>1261</v>
      </c>
      <c r="C1315">
        <v>0</v>
      </c>
      <c r="D1315">
        <v>0</v>
      </c>
      <c r="E1315">
        <v>0</v>
      </c>
      <c r="F1315">
        <v>25</v>
      </c>
      <c r="G1315">
        <v>67</v>
      </c>
      <c r="H1315">
        <v>68</v>
      </c>
      <c r="I1315">
        <v>22</v>
      </c>
      <c r="J1315">
        <v>114</v>
      </c>
      <c r="K1315">
        <v>30</v>
      </c>
      <c r="L1315">
        <v>29</v>
      </c>
      <c r="M1315">
        <v>355</v>
      </c>
      <c r="P1315" s="4"/>
    </row>
    <row r="1316" spans="1:16" x14ac:dyDescent="0.3">
      <c r="A1316" t="s">
        <v>133</v>
      </c>
      <c r="B1316" t="s">
        <v>1262</v>
      </c>
      <c r="C1316">
        <v>0</v>
      </c>
      <c r="D1316">
        <v>0</v>
      </c>
      <c r="E1316">
        <v>0</v>
      </c>
      <c r="F1316">
        <v>0</v>
      </c>
      <c r="G1316">
        <v>0</v>
      </c>
      <c r="H1316">
        <v>0</v>
      </c>
      <c r="I1316">
        <v>21</v>
      </c>
      <c r="J1316">
        <v>82</v>
      </c>
      <c r="K1316">
        <v>42</v>
      </c>
      <c r="L1316">
        <v>20</v>
      </c>
      <c r="M1316">
        <v>165</v>
      </c>
      <c r="P1316" s="3"/>
    </row>
    <row r="1317" spans="1:16" x14ac:dyDescent="0.3">
      <c r="A1317" t="s">
        <v>181</v>
      </c>
      <c r="B1317" t="s">
        <v>1263</v>
      </c>
      <c r="C1317">
        <v>1</v>
      </c>
      <c r="D1317">
        <v>0</v>
      </c>
      <c r="E1317">
        <v>0</v>
      </c>
      <c r="F1317">
        <v>0</v>
      </c>
      <c r="G1317">
        <v>0</v>
      </c>
      <c r="H1317">
        <v>0</v>
      </c>
      <c r="I1317">
        <v>0</v>
      </c>
      <c r="J1317">
        <v>0</v>
      </c>
      <c r="K1317">
        <v>0</v>
      </c>
      <c r="L1317">
        <v>0</v>
      </c>
      <c r="M1317">
        <v>1</v>
      </c>
      <c r="P1317" s="4"/>
    </row>
    <row r="1318" spans="1:16" x14ac:dyDescent="0.3">
      <c r="A1318" t="s">
        <v>131</v>
      </c>
      <c r="B1318" t="s">
        <v>1264</v>
      </c>
      <c r="C1318">
        <v>0</v>
      </c>
      <c r="D1318">
        <v>0</v>
      </c>
      <c r="E1318">
        <v>26</v>
      </c>
      <c r="F1318">
        <v>61</v>
      </c>
      <c r="G1318">
        <v>17</v>
      </c>
      <c r="H1318">
        <v>0</v>
      </c>
      <c r="I1318">
        <v>0</v>
      </c>
      <c r="J1318">
        <v>1</v>
      </c>
      <c r="K1318">
        <v>2</v>
      </c>
      <c r="L1318">
        <v>2</v>
      </c>
      <c r="M1318">
        <v>109</v>
      </c>
      <c r="P1318" s="3"/>
    </row>
    <row r="1319" spans="1:16" x14ac:dyDescent="0.3">
      <c r="A1319" t="s">
        <v>133</v>
      </c>
      <c r="B1319" t="s">
        <v>1265</v>
      </c>
      <c r="C1319">
        <v>0</v>
      </c>
      <c r="D1319">
        <v>0</v>
      </c>
      <c r="E1319">
        <v>0</v>
      </c>
      <c r="F1319">
        <v>0</v>
      </c>
      <c r="G1319">
        <v>0</v>
      </c>
      <c r="H1319">
        <v>0</v>
      </c>
      <c r="I1319">
        <v>0</v>
      </c>
      <c r="J1319">
        <v>6</v>
      </c>
      <c r="K1319">
        <v>15</v>
      </c>
      <c r="L1319">
        <v>6</v>
      </c>
      <c r="M1319">
        <v>27</v>
      </c>
      <c r="P1319" s="4"/>
    </row>
    <row r="1320" spans="1:16" x14ac:dyDescent="0.3">
      <c r="A1320" t="s">
        <v>133</v>
      </c>
      <c r="B1320" t="s">
        <v>1266</v>
      </c>
      <c r="C1320">
        <v>0</v>
      </c>
      <c r="D1320">
        <v>0</v>
      </c>
      <c r="E1320">
        <v>0</v>
      </c>
      <c r="F1320">
        <v>0</v>
      </c>
      <c r="G1320">
        <v>0</v>
      </c>
      <c r="H1320">
        <v>0</v>
      </c>
      <c r="I1320">
        <v>0</v>
      </c>
      <c r="J1320">
        <v>2</v>
      </c>
      <c r="K1320">
        <v>275</v>
      </c>
      <c r="L1320">
        <v>64</v>
      </c>
      <c r="M1320">
        <v>341</v>
      </c>
      <c r="P1320" s="3"/>
    </row>
    <row r="1321" spans="1:16" x14ac:dyDescent="0.3">
      <c r="A1321" t="s">
        <v>133</v>
      </c>
      <c r="B1321" t="s">
        <v>1267</v>
      </c>
      <c r="C1321">
        <v>0</v>
      </c>
      <c r="D1321">
        <v>0</v>
      </c>
      <c r="E1321">
        <v>0</v>
      </c>
      <c r="F1321">
        <v>0</v>
      </c>
      <c r="G1321">
        <v>0</v>
      </c>
      <c r="H1321">
        <v>0</v>
      </c>
      <c r="I1321">
        <v>0</v>
      </c>
      <c r="J1321">
        <v>0</v>
      </c>
      <c r="K1321">
        <v>4</v>
      </c>
      <c r="L1321">
        <v>63</v>
      </c>
      <c r="M1321">
        <v>67</v>
      </c>
      <c r="P1321" s="4"/>
    </row>
    <row r="1322" spans="1:16" x14ac:dyDescent="0.3">
      <c r="A1322" t="s">
        <v>133</v>
      </c>
      <c r="B1322" t="s">
        <v>1268</v>
      </c>
      <c r="C1322">
        <v>0</v>
      </c>
      <c r="D1322">
        <v>0</v>
      </c>
      <c r="E1322">
        <v>0</v>
      </c>
      <c r="F1322">
        <v>0</v>
      </c>
      <c r="G1322">
        <v>0</v>
      </c>
      <c r="H1322">
        <v>0</v>
      </c>
      <c r="I1322">
        <v>0</v>
      </c>
      <c r="J1322">
        <v>0</v>
      </c>
      <c r="K1322">
        <v>0</v>
      </c>
      <c r="L1322">
        <v>1</v>
      </c>
      <c r="M1322">
        <v>1</v>
      </c>
      <c r="P1322" s="3"/>
    </row>
    <row r="1323" spans="1:16" x14ac:dyDescent="0.3">
      <c r="A1323" t="s">
        <v>133</v>
      </c>
      <c r="B1323" t="s">
        <v>1269</v>
      </c>
      <c r="C1323">
        <v>0</v>
      </c>
      <c r="D1323">
        <v>0</v>
      </c>
      <c r="E1323">
        <v>0</v>
      </c>
      <c r="F1323">
        <v>0</v>
      </c>
      <c r="G1323">
        <v>0</v>
      </c>
      <c r="H1323">
        <v>0</v>
      </c>
      <c r="I1323">
        <v>0</v>
      </c>
      <c r="J1323">
        <v>0</v>
      </c>
      <c r="K1323">
        <v>10</v>
      </c>
      <c r="L1323">
        <v>4</v>
      </c>
      <c r="M1323">
        <v>14</v>
      </c>
      <c r="P1323" s="4"/>
    </row>
    <row r="1324" spans="1:16" x14ac:dyDescent="0.3">
      <c r="A1324" t="s">
        <v>133</v>
      </c>
      <c r="B1324" t="s">
        <v>1270</v>
      </c>
      <c r="C1324">
        <v>0</v>
      </c>
      <c r="D1324">
        <v>0</v>
      </c>
      <c r="E1324">
        <v>0</v>
      </c>
      <c r="F1324">
        <v>0</v>
      </c>
      <c r="G1324">
        <v>0</v>
      </c>
      <c r="H1324">
        <v>0</v>
      </c>
      <c r="I1324">
        <v>0</v>
      </c>
      <c r="J1324">
        <v>0</v>
      </c>
      <c r="K1324">
        <v>68</v>
      </c>
      <c r="L1324">
        <v>21</v>
      </c>
      <c r="M1324">
        <v>89</v>
      </c>
      <c r="P1324" s="3"/>
    </row>
    <row r="1325" spans="1:16" x14ac:dyDescent="0.3">
      <c r="A1325" t="s">
        <v>131</v>
      </c>
      <c r="B1325" t="s">
        <v>1270</v>
      </c>
      <c r="C1325">
        <v>0</v>
      </c>
      <c r="D1325">
        <v>0</v>
      </c>
      <c r="E1325">
        <v>0</v>
      </c>
      <c r="F1325">
        <v>0</v>
      </c>
      <c r="G1325">
        <v>0</v>
      </c>
      <c r="H1325">
        <v>0</v>
      </c>
      <c r="I1325">
        <v>0</v>
      </c>
      <c r="J1325">
        <v>0</v>
      </c>
      <c r="K1325">
        <v>0</v>
      </c>
      <c r="L1325">
        <v>4</v>
      </c>
      <c r="M1325">
        <v>4</v>
      </c>
      <c r="P1325" s="4"/>
    </row>
    <row r="1326" spans="1:16" x14ac:dyDescent="0.3">
      <c r="A1326" t="s">
        <v>133</v>
      </c>
      <c r="B1326" t="s">
        <v>1271</v>
      </c>
      <c r="C1326">
        <v>0</v>
      </c>
      <c r="D1326">
        <v>0</v>
      </c>
      <c r="E1326">
        <v>0</v>
      </c>
      <c r="F1326">
        <v>0</v>
      </c>
      <c r="G1326">
        <v>0</v>
      </c>
      <c r="H1326">
        <v>0</v>
      </c>
      <c r="I1326">
        <v>0</v>
      </c>
      <c r="J1326">
        <v>0</v>
      </c>
      <c r="K1326">
        <v>8</v>
      </c>
      <c r="L1326">
        <v>9</v>
      </c>
      <c r="M1326">
        <v>17</v>
      </c>
      <c r="P1326" s="3"/>
    </row>
    <row r="1327" spans="1:16" x14ac:dyDescent="0.3">
      <c r="A1327" t="s">
        <v>133</v>
      </c>
      <c r="B1327" t="s">
        <v>1272</v>
      </c>
      <c r="C1327">
        <v>0</v>
      </c>
      <c r="D1327">
        <v>0</v>
      </c>
      <c r="E1327">
        <v>0</v>
      </c>
      <c r="F1327">
        <v>0</v>
      </c>
      <c r="G1327">
        <v>0</v>
      </c>
      <c r="H1327">
        <v>0</v>
      </c>
      <c r="I1327">
        <v>0</v>
      </c>
      <c r="J1327">
        <v>12</v>
      </c>
      <c r="K1327">
        <v>15</v>
      </c>
      <c r="L1327">
        <v>4</v>
      </c>
      <c r="M1327">
        <v>31</v>
      </c>
      <c r="P1327" s="4"/>
    </row>
    <row r="1328" spans="1:16" x14ac:dyDescent="0.3">
      <c r="A1328" t="s">
        <v>133</v>
      </c>
      <c r="B1328" t="s">
        <v>1273</v>
      </c>
      <c r="C1328">
        <v>0</v>
      </c>
      <c r="D1328">
        <v>0</v>
      </c>
      <c r="E1328">
        <v>0</v>
      </c>
      <c r="F1328">
        <v>0</v>
      </c>
      <c r="G1328">
        <v>0</v>
      </c>
      <c r="H1328">
        <v>0</v>
      </c>
      <c r="I1328">
        <v>0</v>
      </c>
      <c r="J1328">
        <v>0</v>
      </c>
      <c r="K1328">
        <v>2</v>
      </c>
      <c r="L1328">
        <v>11</v>
      </c>
      <c r="M1328">
        <v>13</v>
      </c>
      <c r="P1328" s="3"/>
    </row>
    <row r="1329" spans="1:16" x14ac:dyDescent="0.3">
      <c r="A1329" t="s">
        <v>133</v>
      </c>
      <c r="B1329" t="s">
        <v>1274</v>
      </c>
      <c r="C1329">
        <v>0</v>
      </c>
      <c r="D1329">
        <v>0</v>
      </c>
      <c r="E1329">
        <v>0</v>
      </c>
      <c r="F1329">
        <v>0</v>
      </c>
      <c r="G1329">
        <v>0</v>
      </c>
      <c r="H1329">
        <v>0</v>
      </c>
      <c r="I1329">
        <v>0</v>
      </c>
      <c r="J1329">
        <v>1</v>
      </c>
      <c r="K1329">
        <v>426</v>
      </c>
      <c r="L1329">
        <v>282</v>
      </c>
      <c r="M1329">
        <v>709</v>
      </c>
      <c r="P1329" s="4"/>
    </row>
    <row r="1330" spans="1:16" x14ac:dyDescent="0.3">
      <c r="A1330" t="s">
        <v>133</v>
      </c>
      <c r="B1330" t="s">
        <v>1275</v>
      </c>
      <c r="C1330">
        <v>0</v>
      </c>
      <c r="D1330">
        <v>0</v>
      </c>
      <c r="E1330">
        <v>0</v>
      </c>
      <c r="F1330">
        <v>0</v>
      </c>
      <c r="G1330">
        <v>0</v>
      </c>
      <c r="H1330">
        <v>0</v>
      </c>
      <c r="I1330">
        <v>0</v>
      </c>
      <c r="J1330">
        <v>0</v>
      </c>
      <c r="K1330">
        <v>4</v>
      </c>
      <c r="L1330">
        <v>22</v>
      </c>
      <c r="M1330">
        <v>26</v>
      </c>
      <c r="P1330" s="3"/>
    </row>
    <row r="1331" spans="1:16" x14ac:dyDescent="0.3">
      <c r="A1331" t="s">
        <v>133</v>
      </c>
      <c r="B1331" t="s">
        <v>1276</v>
      </c>
      <c r="C1331">
        <v>0</v>
      </c>
      <c r="D1331">
        <v>0</v>
      </c>
      <c r="E1331">
        <v>0</v>
      </c>
      <c r="F1331">
        <v>0</v>
      </c>
      <c r="G1331">
        <v>0</v>
      </c>
      <c r="H1331">
        <v>0</v>
      </c>
      <c r="I1331">
        <v>0</v>
      </c>
      <c r="J1331">
        <v>4</v>
      </c>
      <c r="K1331">
        <v>182</v>
      </c>
      <c r="L1331">
        <v>109</v>
      </c>
      <c r="M1331">
        <v>295</v>
      </c>
      <c r="P1331" s="4"/>
    </row>
    <row r="1332" spans="1:16" x14ac:dyDescent="0.3">
      <c r="A1332" t="s">
        <v>133</v>
      </c>
      <c r="B1332" t="s">
        <v>1277</v>
      </c>
      <c r="C1332">
        <v>0</v>
      </c>
      <c r="D1332">
        <v>0</v>
      </c>
      <c r="E1332">
        <v>0</v>
      </c>
      <c r="F1332">
        <v>0</v>
      </c>
      <c r="G1332">
        <v>0</v>
      </c>
      <c r="H1332">
        <v>0</v>
      </c>
      <c r="I1332">
        <v>0</v>
      </c>
      <c r="J1332">
        <v>6</v>
      </c>
      <c r="K1332">
        <v>54</v>
      </c>
      <c r="L1332">
        <v>3</v>
      </c>
      <c r="M1332">
        <v>63</v>
      </c>
      <c r="P1332" s="3"/>
    </row>
    <row r="1333" spans="1:16" x14ac:dyDescent="0.3">
      <c r="A1333" t="s">
        <v>133</v>
      </c>
      <c r="B1333" t="s">
        <v>1278</v>
      </c>
      <c r="C1333">
        <v>0</v>
      </c>
      <c r="D1333">
        <v>0</v>
      </c>
      <c r="E1333">
        <v>0</v>
      </c>
      <c r="F1333">
        <v>0</v>
      </c>
      <c r="G1333">
        <v>0</v>
      </c>
      <c r="H1333">
        <v>0</v>
      </c>
      <c r="I1333">
        <v>0</v>
      </c>
      <c r="J1333">
        <v>0</v>
      </c>
      <c r="K1333">
        <v>1</v>
      </c>
      <c r="L1333">
        <v>45</v>
      </c>
      <c r="M1333">
        <v>46</v>
      </c>
      <c r="P1333" s="4"/>
    </row>
    <row r="1334" spans="1:16" x14ac:dyDescent="0.3">
      <c r="A1334" t="s">
        <v>133</v>
      </c>
      <c r="B1334" t="s">
        <v>1279</v>
      </c>
      <c r="C1334">
        <v>0</v>
      </c>
      <c r="D1334">
        <v>0</v>
      </c>
      <c r="E1334">
        <v>0</v>
      </c>
      <c r="F1334">
        <v>0</v>
      </c>
      <c r="G1334">
        <v>0</v>
      </c>
      <c r="H1334">
        <v>0</v>
      </c>
      <c r="I1334">
        <v>0</v>
      </c>
      <c r="J1334">
        <v>0</v>
      </c>
      <c r="K1334">
        <v>0</v>
      </c>
      <c r="L1334">
        <v>48</v>
      </c>
      <c r="M1334">
        <v>48</v>
      </c>
      <c r="P1334" s="3"/>
    </row>
    <row r="1335" spans="1:16" x14ac:dyDescent="0.3">
      <c r="A1335" t="s">
        <v>133</v>
      </c>
      <c r="B1335" t="s">
        <v>1280</v>
      </c>
      <c r="C1335">
        <v>0</v>
      </c>
      <c r="D1335">
        <v>0</v>
      </c>
      <c r="E1335">
        <v>0</v>
      </c>
      <c r="F1335">
        <v>0</v>
      </c>
      <c r="G1335">
        <v>0</v>
      </c>
      <c r="H1335">
        <v>0</v>
      </c>
      <c r="I1335">
        <v>0</v>
      </c>
      <c r="J1335">
        <v>0</v>
      </c>
      <c r="K1335">
        <v>37</v>
      </c>
      <c r="L1335">
        <v>6</v>
      </c>
      <c r="M1335">
        <v>43</v>
      </c>
      <c r="P1335" s="4"/>
    </row>
    <row r="1336" spans="1:16" x14ac:dyDescent="0.3">
      <c r="A1336" t="s">
        <v>133</v>
      </c>
      <c r="B1336" t="s">
        <v>1281</v>
      </c>
      <c r="C1336">
        <v>0</v>
      </c>
      <c r="D1336">
        <v>0</v>
      </c>
      <c r="E1336">
        <v>0</v>
      </c>
      <c r="F1336">
        <v>0</v>
      </c>
      <c r="G1336">
        <v>0</v>
      </c>
      <c r="H1336">
        <v>0</v>
      </c>
      <c r="I1336">
        <v>0</v>
      </c>
      <c r="J1336">
        <v>0</v>
      </c>
      <c r="K1336">
        <v>35</v>
      </c>
      <c r="L1336">
        <v>16</v>
      </c>
      <c r="M1336">
        <v>51</v>
      </c>
      <c r="P1336" s="3"/>
    </row>
    <row r="1337" spans="1:16" x14ac:dyDescent="0.3">
      <c r="A1337" t="s">
        <v>133</v>
      </c>
      <c r="B1337" t="s">
        <v>1282</v>
      </c>
      <c r="C1337">
        <v>0</v>
      </c>
      <c r="D1337">
        <v>0</v>
      </c>
      <c r="E1337">
        <v>0</v>
      </c>
      <c r="F1337">
        <v>0</v>
      </c>
      <c r="G1337">
        <v>0</v>
      </c>
      <c r="H1337">
        <v>0</v>
      </c>
      <c r="I1337">
        <v>0</v>
      </c>
      <c r="J1337">
        <v>0</v>
      </c>
      <c r="K1337">
        <v>72</v>
      </c>
      <c r="L1337">
        <v>157</v>
      </c>
      <c r="M1337">
        <v>229</v>
      </c>
      <c r="P1337" s="4"/>
    </row>
    <row r="1338" spans="1:16" x14ac:dyDescent="0.3">
      <c r="A1338" t="s">
        <v>133</v>
      </c>
      <c r="B1338" t="s">
        <v>1283</v>
      </c>
      <c r="C1338">
        <v>0</v>
      </c>
      <c r="D1338">
        <v>0</v>
      </c>
      <c r="E1338">
        <v>0</v>
      </c>
      <c r="F1338">
        <v>0</v>
      </c>
      <c r="G1338">
        <v>0</v>
      </c>
      <c r="H1338">
        <v>0</v>
      </c>
      <c r="I1338">
        <v>0</v>
      </c>
      <c r="J1338">
        <v>0</v>
      </c>
      <c r="K1338">
        <v>22</v>
      </c>
      <c r="L1338">
        <v>10</v>
      </c>
      <c r="M1338">
        <v>32</v>
      </c>
      <c r="P1338" s="3"/>
    </row>
    <row r="1339" spans="1:16" x14ac:dyDescent="0.3">
      <c r="A1339" t="s">
        <v>133</v>
      </c>
      <c r="B1339" t="s">
        <v>1284</v>
      </c>
      <c r="C1339">
        <v>0</v>
      </c>
      <c r="D1339">
        <v>0</v>
      </c>
      <c r="E1339">
        <v>0</v>
      </c>
      <c r="F1339">
        <v>0</v>
      </c>
      <c r="G1339">
        <v>0</v>
      </c>
      <c r="H1339">
        <v>0</v>
      </c>
      <c r="I1339">
        <v>0</v>
      </c>
      <c r="J1339">
        <v>0</v>
      </c>
      <c r="K1339">
        <v>389</v>
      </c>
      <c r="L1339">
        <v>168</v>
      </c>
      <c r="M1339">
        <v>557</v>
      </c>
      <c r="P1339" s="4"/>
    </row>
    <row r="1340" spans="1:16" x14ac:dyDescent="0.3">
      <c r="A1340" t="s">
        <v>133</v>
      </c>
      <c r="B1340" t="s">
        <v>1285</v>
      </c>
      <c r="C1340">
        <v>0</v>
      </c>
      <c r="D1340">
        <v>0</v>
      </c>
      <c r="E1340">
        <v>0</v>
      </c>
      <c r="F1340">
        <v>0</v>
      </c>
      <c r="G1340">
        <v>0</v>
      </c>
      <c r="H1340">
        <v>0</v>
      </c>
      <c r="I1340">
        <v>0</v>
      </c>
      <c r="J1340">
        <v>0</v>
      </c>
      <c r="K1340">
        <v>8</v>
      </c>
      <c r="L1340">
        <v>1</v>
      </c>
      <c r="M1340">
        <v>9</v>
      </c>
      <c r="P1340" s="3"/>
    </row>
    <row r="1341" spans="1:16" x14ac:dyDescent="0.3">
      <c r="A1341" t="s">
        <v>133</v>
      </c>
      <c r="B1341" t="s">
        <v>1286</v>
      </c>
      <c r="C1341">
        <v>0</v>
      </c>
      <c r="D1341">
        <v>0</v>
      </c>
      <c r="E1341">
        <v>0</v>
      </c>
      <c r="F1341">
        <v>0</v>
      </c>
      <c r="G1341">
        <v>0</v>
      </c>
      <c r="H1341">
        <v>0</v>
      </c>
      <c r="I1341">
        <v>0</v>
      </c>
      <c r="J1341">
        <v>0</v>
      </c>
      <c r="K1341">
        <v>0</v>
      </c>
      <c r="L1341">
        <v>36</v>
      </c>
      <c r="M1341">
        <v>36</v>
      </c>
      <c r="P1341" s="4"/>
    </row>
    <row r="1342" spans="1:16" x14ac:dyDescent="0.3">
      <c r="A1342" t="s">
        <v>133</v>
      </c>
      <c r="B1342" t="s">
        <v>1287</v>
      </c>
      <c r="C1342">
        <v>0</v>
      </c>
      <c r="D1342">
        <v>0</v>
      </c>
      <c r="E1342">
        <v>0</v>
      </c>
      <c r="F1342">
        <v>0</v>
      </c>
      <c r="G1342">
        <v>0</v>
      </c>
      <c r="H1342">
        <v>0</v>
      </c>
      <c r="I1342">
        <v>0</v>
      </c>
      <c r="J1342">
        <v>0</v>
      </c>
      <c r="K1342">
        <v>2</v>
      </c>
      <c r="L1342">
        <v>7</v>
      </c>
      <c r="M1342">
        <v>9</v>
      </c>
      <c r="P1342" s="3"/>
    </row>
    <row r="1343" spans="1:16" x14ac:dyDescent="0.3">
      <c r="A1343" t="s">
        <v>133</v>
      </c>
      <c r="B1343" t="s">
        <v>1288</v>
      </c>
      <c r="C1343">
        <v>0</v>
      </c>
      <c r="D1343">
        <v>0</v>
      </c>
      <c r="E1343">
        <v>0</v>
      </c>
      <c r="F1343">
        <v>0</v>
      </c>
      <c r="G1343">
        <v>0</v>
      </c>
      <c r="H1343">
        <v>0</v>
      </c>
      <c r="I1343">
        <v>0</v>
      </c>
      <c r="J1343">
        <v>0</v>
      </c>
      <c r="K1343">
        <v>12</v>
      </c>
      <c r="L1343">
        <v>4</v>
      </c>
      <c r="M1343">
        <v>16</v>
      </c>
      <c r="P1343" s="4"/>
    </row>
    <row r="1344" spans="1:16" x14ac:dyDescent="0.3">
      <c r="A1344" t="s">
        <v>133</v>
      </c>
      <c r="B1344" t="s">
        <v>1289</v>
      </c>
      <c r="C1344">
        <v>0</v>
      </c>
      <c r="D1344">
        <v>0</v>
      </c>
      <c r="E1344">
        <v>0</v>
      </c>
      <c r="F1344">
        <v>0</v>
      </c>
      <c r="G1344">
        <v>0</v>
      </c>
      <c r="H1344">
        <v>0</v>
      </c>
      <c r="I1344">
        <v>0</v>
      </c>
      <c r="J1344">
        <v>15</v>
      </c>
      <c r="K1344">
        <v>278</v>
      </c>
      <c r="L1344">
        <v>167</v>
      </c>
      <c r="M1344">
        <v>460</v>
      </c>
      <c r="P1344" s="3"/>
    </row>
    <row r="1345" spans="1:16" x14ac:dyDescent="0.3">
      <c r="A1345" t="s">
        <v>133</v>
      </c>
      <c r="B1345" t="s">
        <v>1290</v>
      </c>
      <c r="C1345">
        <v>0</v>
      </c>
      <c r="D1345">
        <v>0</v>
      </c>
      <c r="E1345">
        <v>0</v>
      </c>
      <c r="F1345">
        <v>0</v>
      </c>
      <c r="G1345">
        <v>0</v>
      </c>
      <c r="H1345">
        <v>0</v>
      </c>
      <c r="I1345">
        <v>0</v>
      </c>
      <c r="J1345">
        <v>0</v>
      </c>
      <c r="K1345">
        <v>17</v>
      </c>
      <c r="L1345">
        <v>18</v>
      </c>
      <c r="M1345">
        <v>35</v>
      </c>
      <c r="P1345" s="4"/>
    </row>
    <row r="1346" spans="1:16" x14ac:dyDescent="0.3">
      <c r="A1346" t="s">
        <v>133</v>
      </c>
      <c r="B1346" t="s">
        <v>1291</v>
      </c>
      <c r="C1346">
        <v>0</v>
      </c>
      <c r="D1346">
        <v>0</v>
      </c>
      <c r="E1346">
        <v>0</v>
      </c>
      <c r="F1346">
        <v>0</v>
      </c>
      <c r="G1346">
        <v>0</v>
      </c>
      <c r="H1346">
        <v>0</v>
      </c>
      <c r="I1346">
        <v>0</v>
      </c>
      <c r="J1346">
        <v>0</v>
      </c>
      <c r="K1346">
        <v>12</v>
      </c>
      <c r="L1346">
        <v>12</v>
      </c>
      <c r="M1346">
        <v>24</v>
      </c>
      <c r="P1346" s="3"/>
    </row>
    <row r="1347" spans="1:16" x14ac:dyDescent="0.3">
      <c r="A1347" t="s">
        <v>133</v>
      </c>
      <c r="B1347" t="s">
        <v>1292</v>
      </c>
      <c r="C1347">
        <v>0</v>
      </c>
      <c r="D1347">
        <v>0</v>
      </c>
      <c r="E1347">
        <v>0</v>
      </c>
      <c r="F1347">
        <v>0</v>
      </c>
      <c r="G1347">
        <v>0</v>
      </c>
      <c r="H1347">
        <v>0</v>
      </c>
      <c r="I1347">
        <v>0</v>
      </c>
      <c r="J1347">
        <v>0</v>
      </c>
      <c r="K1347">
        <v>316</v>
      </c>
      <c r="L1347">
        <v>102</v>
      </c>
      <c r="M1347">
        <v>418</v>
      </c>
      <c r="P1347" s="4"/>
    </row>
    <row r="1348" spans="1:16" x14ac:dyDescent="0.3">
      <c r="A1348" t="s">
        <v>131</v>
      </c>
      <c r="B1348" t="s">
        <v>1293</v>
      </c>
      <c r="C1348">
        <v>0</v>
      </c>
      <c r="D1348">
        <v>42</v>
      </c>
      <c r="E1348">
        <v>62</v>
      </c>
      <c r="F1348">
        <v>3</v>
      </c>
      <c r="G1348">
        <v>0</v>
      </c>
      <c r="H1348">
        <v>0</v>
      </c>
      <c r="I1348">
        <v>0</v>
      </c>
      <c r="J1348">
        <v>0</v>
      </c>
      <c r="K1348">
        <v>0</v>
      </c>
      <c r="L1348">
        <v>0</v>
      </c>
      <c r="M1348">
        <v>107</v>
      </c>
      <c r="P1348" s="3"/>
    </row>
    <row r="1349" spans="1:16" x14ac:dyDescent="0.3">
      <c r="A1349" t="s">
        <v>131</v>
      </c>
      <c r="B1349" t="s">
        <v>1294</v>
      </c>
      <c r="C1349">
        <v>0</v>
      </c>
      <c r="D1349">
        <v>31</v>
      </c>
      <c r="E1349">
        <v>49</v>
      </c>
      <c r="F1349">
        <v>15</v>
      </c>
      <c r="G1349">
        <v>11</v>
      </c>
      <c r="H1349">
        <v>1</v>
      </c>
      <c r="I1349">
        <v>1</v>
      </c>
      <c r="J1349">
        <v>12</v>
      </c>
      <c r="K1349">
        <v>2</v>
      </c>
      <c r="L1349">
        <v>0</v>
      </c>
      <c r="M1349">
        <v>122</v>
      </c>
      <c r="P1349" s="4"/>
    </row>
    <row r="1350" spans="1:16" x14ac:dyDescent="0.3">
      <c r="A1350" t="s">
        <v>131</v>
      </c>
      <c r="B1350" t="s">
        <v>1295</v>
      </c>
      <c r="C1350">
        <v>0</v>
      </c>
      <c r="D1350">
        <v>22</v>
      </c>
      <c r="E1350">
        <v>86</v>
      </c>
      <c r="F1350">
        <v>87</v>
      </c>
      <c r="G1350">
        <v>129</v>
      </c>
      <c r="H1350">
        <v>43</v>
      </c>
      <c r="I1350">
        <v>39</v>
      </c>
      <c r="J1350">
        <v>15</v>
      </c>
      <c r="K1350">
        <v>6</v>
      </c>
      <c r="L1350">
        <v>0</v>
      </c>
      <c r="M1350">
        <v>427</v>
      </c>
      <c r="P1350" s="3"/>
    </row>
    <row r="1351" spans="1:16" x14ac:dyDescent="0.3">
      <c r="A1351" t="s">
        <v>131</v>
      </c>
      <c r="B1351" t="s">
        <v>1296</v>
      </c>
      <c r="C1351">
        <v>780</v>
      </c>
      <c r="D1351">
        <v>3348</v>
      </c>
      <c r="E1351">
        <v>43</v>
      </c>
      <c r="F1351">
        <v>46</v>
      </c>
      <c r="G1351">
        <v>1</v>
      </c>
      <c r="H1351">
        <v>0</v>
      </c>
      <c r="I1351">
        <v>0</v>
      </c>
      <c r="J1351">
        <v>0</v>
      </c>
      <c r="K1351">
        <v>0</v>
      </c>
      <c r="L1351">
        <v>0</v>
      </c>
      <c r="M1351">
        <v>4218</v>
      </c>
      <c r="P1351" s="4"/>
    </row>
    <row r="1352" spans="1:16" x14ac:dyDescent="0.3">
      <c r="A1352" t="s">
        <v>131</v>
      </c>
      <c r="B1352" t="s">
        <v>1297</v>
      </c>
      <c r="C1352">
        <v>0</v>
      </c>
      <c r="D1352">
        <v>0</v>
      </c>
      <c r="E1352">
        <v>0</v>
      </c>
      <c r="F1352">
        <v>0</v>
      </c>
      <c r="G1352">
        <v>29</v>
      </c>
      <c r="H1352">
        <v>88</v>
      </c>
      <c r="I1352">
        <v>58</v>
      </c>
      <c r="J1352">
        <v>1</v>
      </c>
      <c r="K1352">
        <v>3</v>
      </c>
      <c r="L1352">
        <v>79</v>
      </c>
      <c r="M1352">
        <v>258</v>
      </c>
      <c r="P1352" s="3"/>
    </row>
    <row r="1353" spans="1:16" x14ac:dyDescent="0.3">
      <c r="A1353" t="s">
        <v>133</v>
      </c>
      <c r="B1353" t="s">
        <v>1298</v>
      </c>
      <c r="C1353">
        <v>0</v>
      </c>
      <c r="D1353">
        <v>0</v>
      </c>
      <c r="E1353">
        <v>0</v>
      </c>
      <c r="F1353">
        <v>0</v>
      </c>
      <c r="G1353">
        <v>0</v>
      </c>
      <c r="H1353">
        <v>0</v>
      </c>
      <c r="I1353">
        <v>0</v>
      </c>
      <c r="J1353">
        <v>25</v>
      </c>
      <c r="K1353">
        <v>16</v>
      </c>
      <c r="L1353">
        <v>1</v>
      </c>
      <c r="M1353">
        <v>42</v>
      </c>
      <c r="P1353" s="4"/>
    </row>
    <row r="1354" spans="1:16" x14ac:dyDescent="0.3">
      <c r="A1354" t="s">
        <v>133</v>
      </c>
      <c r="B1354" t="s">
        <v>1299</v>
      </c>
      <c r="C1354">
        <v>0</v>
      </c>
      <c r="D1354">
        <v>0</v>
      </c>
      <c r="E1354">
        <v>0</v>
      </c>
      <c r="F1354">
        <v>0</v>
      </c>
      <c r="G1354">
        <v>0</v>
      </c>
      <c r="H1354">
        <v>0</v>
      </c>
      <c r="I1354">
        <v>0</v>
      </c>
      <c r="J1354">
        <v>1</v>
      </c>
      <c r="K1354">
        <v>9</v>
      </c>
      <c r="L1354">
        <v>0</v>
      </c>
      <c r="M1354">
        <v>10</v>
      </c>
      <c r="P1354" s="3"/>
    </row>
    <row r="1355" spans="1:16" x14ac:dyDescent="0.3">
      <c r="A1355" t="s">
        <v>133</v>
      </c>
      <c r="B1355" t="s">
        <v>1300</v>
      </c>
      <c r="C1355">
        <v>0</v>
      </c>
      <c r="D1355">
        <v>0</v>
      </c>
      <c r="E1355">
        <v>0</v>
      </c>
      <c r="F1355">
        <v>0</v>
      </c>
      <c r="G1355">
        <v>0</v>
      </c>
      <c r="H1355">
        <v>0</v>
      </c>
      <c r="I1355">
        <v>0</v>
      </c>
      <c r="J1355">
        <v>0</v>
      </c>
      <c r="K1355">
        <v>4</v>
      </c>
      <c r="L1355">
        <v>1</v>
      </c>
      <c r="M1355">
        <v>5</v>
      </c>
      <c r="P1355" s="4"/>
    </row>
    <row r="1356" spans="1:16" x14ac:dyDescent="0.3">
      <c r="A1356" t="s">
        <v>133</v>
      </c>
      <c r="B1356" t="s">
        <v>1301</v>
      </c>
      <c r="C1356">
        <v>0</v>
      </c>
      <c r="D1356">
        <v>0</v>
      </c>
      <c r="E1356">
        <v>0</v>
      </c>
      <c r="F1356">
        <v>0</v>
      </c>
      <c r="G1356">
        <v>0</v>
      </c>
      <c r="H1356">
        <v>0</v>
      </c>
      <c r="I1356">
        <v>0</v>
      </c>
      <c r="J1356">
        <v>0</v>
      </c>
      <c r="K1356">
        <v>61</v>
      </c>
      <c r="L1356">
        <v>96</v>
      </c>
      <c r="M1356">
        <v>157</v>
      </c>
      <c r="P1356" s="3"/>
    </row>
    <row r="1357" spans="1:16" x14ac:dyDescent="0.3">
      <c r="A1357" t="s">
        <v>133</v>
      </c>
      <c r="B1357" t="s">
        <v>1302</v>
      </c>
      <c r="C1357">
        <v>0</v>
      </c>
      <c r="D1357">
        <v>0</v>
      </c>
      <c r="E1357">
        <v>0</v>
      </c>
      <c r="F1357">
        <v>0</v>
      </c>
      <c r="G1357">
        <v>0</v>
      </c>
      <c r="H1357">
        <v>0</v>
      </c>
      <c r="I1357">
        <v>0</v>
      </c>
      <c r="J1357">
        <v>13</v>
      </c>
      <c r="K1357">
        <v>27</v>
      </c>
      <c r="L1357">
        <v>13</v>
      </c>
      <c r="M1357">
        <v>53</v>
      </c>
      <c r="P1357" s="4"/>
    </row>
    <row r="1358" spans="1:16" x14ac:dyDescent="0.3">
      <c r="A1358" t="s">
        <v>133</v>
      </c>
      <c r="B1358" t="s">
        <v>1303</v>
      </c>
      <c r="C1358">
        <v>0</v>
      </c>
      <c r="D1358">
        <v>0</v>
      </c>
      <c r="E1358">
        <v>0</v>
      </c>
      <c r="F1358">
        <v>0</v>
      </c>
      <c r="G1358">
        <v>0</v>
      </c>
      <c r="H1358">
        <v>0</v>
      </c>
      <c r="I1358">
        <v>0</v>
      </c>
      <c r="J1358">
        <v>0</v>
      </c>
      <c r="K1358">
        <v>11</v>
      </c>
      <c r="L1358">
        <v>13</v>
      </c>
      <c r="M1358">
        <v>24</v>
      </c>
      <c r="P1358" s="3"/>
    </row>
    <row r="1359" spans="1:16" x14ac:dyDescent="0.3">
      <c r="A1359" t="s">
        <v>131</v>
      </c>
      <c r="B1359" t="s">
        <v>1304</v>
      </c>
      <c r="C1359">
        <v>1</v>
      </c>
      <c r="D1359">
        <v>1665</v>
      </c>
      <c r="E1359">
        <v>7434</v>
      </c>
      <c r="F1359">
        <v>10816</v>
      </c>
      <c r="G1359">
        <v>13213</v>
      </c>
      <c r="H1359">
        <v>9543</v>
      </c>
      <c r="I1359">
        <v>15793</v>
      </c>
      <c r="J1359">
        <v>29793</v>
      </c>
      <c r="K1359">
        <v>40794</v>
      </c>
      <c r="L1359">
        <v>23892</v>
      </c>
      <c r="M1359">
        <v>152944</v>
      </c>
      <c r="P1359" s="4"/>
    </row>
    <row r="1360" spans="1:16" x14ac:dyDescent="0.3">
      <c r="A1360" t="s">
        <v>136</v>
      </c>
      <c r="B1360" t="s">
        <v>1304</v>
      </c>
      <c r="C1360">
        <v>0</v>
      </c>
      <c r="D1360">
        <v>0</v>
      </c>
      <c r="E1360">
        <v>0</v>
      </c>
      <c r="F1360">
        <v>0</v>
      </c>
      <c r="G1360">
        <v>2</v>
      </c>
      <c r="H1360">
        <v>2</v>
      </c>
      <c r="I1360">
        <v>0</v>
      </c>
      <c r="J1360">
        <v>1</v>
      </c>
      <c r="K1360">
        <v>2</v>
      </c>
      <c r="L1360">
        <v>0</v>
      </c>
      <c r="M1360">
        <v>7</v>
      </c>
      <c r="P1360" s="3"/>
    </row>
    <row r="1361" spans="1:16" x14ac:dyDescent="0.3">
      <c r="A1361" t="s">
        <v>131</v>
      </c>
      <c r="B1361" t="s">
        <v>1305</v>
      </c>
      <c r="C1361">
        <v>0</v>
      </c>
      <c r="D1361">
        <v>0</v>
      </c>
      <c r="E1361">
        <v>30</v>
      </c>
      <c r="F1361">
        <v>14</v>
      </c>
      <c r="G1361">
        <v>24</v>
      </c>
      <c r="H1361">
        <v>8</v>
      </c>
      <c r="I1361">
        <v>1</v>
      </c>
      <c r="J1361">
        <v>0</v>
      </c>
      <c r="K1361">
        <v>0</v>
      </c>
      <c r="L1361">
        <v>0</v>
      </c>
      <c r="M1361">
        <v>77</v>
      </c>
      <c r="P1361" s="4"/>
    </row>
    <row r="1362" spans="1:16" x14ac:dyDescent="0.3">
      <c r="A1362" t="s">
        <v>131</v>
      </c>
      <c r="B1362" t="s">
        <v>1306</v>
      </c>
      <c r="C1362">
        <v>0</v>
      </c>
      <c r="D1362">
        <v>0</v>
      </c>
      <c r="E1362">
        <v>2</v>
      </c>
      <c r="F1362">
        <v>0</v>
      </c>
      <c r="G1362">
        <v>0</v>
      </c>
      <c r="H1362">
        <v>0</v>
      </c>
      <c r="I1362">
        <v>0</v>
      </c>
      <c r="J1362">
        <v>0</v>
      </c>
      <c r="K1362">
        <v>0</v>
      </c>
      <c r="L1362">
        <v>0</v>
      </c>
      <c r="M1362">
        <v>2</v>
      </c>
      <c r="P1362" s="3"/>
    </row>
    <row r="1363" spans="1:16" x14ac:dyDescent="0.3">
      <c r="A1363" t="s">
        <v>133</v>
      </c>
      <c r="B1363" t="s">
        <v>1307</v>
      </c>
      <c r="C1363">
        <v>0</v>
      </c>
      <c r="D1363">
        <v>0</v>
      </c>
      <c r="E1363">
        <v>0</v>
      </c>
      <c r="F1363">
        <v>0</v>
      </c>
      <c r="G1363">
        <v>0</v>
      </c>
      <c r="H1363">
        <v>0</v>
      </c>
      <c r="I1363">
        <v>0</v>
      </c>
      <c r="J1363">
        <v>0</v>
      </c>
      <c r="K1363">
        <v>82</v>
      </c>
      <c r="L1363">
        <v>109</v>
      </c>
      <c r="M1363">
        <v>191</v>
      </c>
      <c r="P1363" s="4"/>
    </row>
    <row r="1364" spans="1:16" x14ac:dyDescent="0.3">
      <c r="A1364" t="s">
        <v>133</v>
      </c>
      <c r="B1364" t="s">
        <v>1308</v>
      </c>
      <c r="C1364">
        <v>0</v>
      </c>
      <c r="D1364">
        <v>0</v>
      </c>
      <c r="E1364">
        <v>0</v>
      </c>
      <c r="F1364">
        <v>0</v>
      </c>
      <c r="G1364">
        <v>0</v>
      </c>
      <c r="H1364">
        <v>0</v>
      </c>
      <c r="I1364">
        <v>0</v>
      </c>
      <c r="J1364">
        <v>0</v>
      </c>
      <c r="K1364">
        <v>80</v>
      </c>
      <c r="L1364">
        <v>101</v>
      </c>
      <c r="M1364">
        <v>181</v>
      </c>
      <c r="P1364" s="3"/>
    </row>
    <row r="1365" spans="1:16" x14ac:dyDescent="0.3">
      <c r="A1365" t="s">
        <v>133</v>
      </c>
      <c r="B1365" t="s">
        <v>1309</v>
      </c>
      <c r="C1365">
        <v>0</v>
      </c>
      <c r="D1365">
        <v>0</v>
      </c>
      <c r="E1365">
        <v>0</v>
      </c>
      <c r="F1365">
        <v>0</v>
      </c>
      <c r="G1365">
        <v>0</v>
      </c>
      <c r="H1365">
        <v>0</v>
      </c>
      <c r="I1365">
        <v>0</v>
      </c>
      <c r="J1365">
        <v>0</v>
      </c>
      <c r="K1365">
        <v>0</v>
      </c>
      <c r="L1365">
        <v>3</v>
      </c>
      <c r="M1365">
        <v>3</v>
      </c>
      <c r="P1365" s="4"/>
    </row>
    <row r="1366" spans="1:16" x14ac:dyDescent="0.3">
      <c r="A1366" t="s">
        <v>133</v>
      </c>
      <c r="B1366" t="s">
        <v>1310</v>
      </c>
      <c r="C1366">
        <v>0</v>
      </c>
      <c r="D1366">
        <v>0</v>
      </c>
      <c r="E1366">
        <v>0</v>
      </c>
      <c r="F1366">
        <v>0</v>
      </c>
      <c r="G1366">
        <v>0</v>
      </c>
      <c r="H1366">
        <v>0</v>
      </c>
      <c r="I1366">
        <v>0</v>
      </c>
      <c r="J1366">
        <v>0</v>
      </c>
      <c r="K1366">
        <v>0</v>
      </c>
      <c r="L1366">
        <v>36</v>
      </c>
      <c r="M1366">
        <v>36</v>
      </c>
      <c r="P1366" s="3"/>
    </row>
    <row r="1367" spans="1:16" x14ac:dyDescent="0.3">
      <c r="A1367" t="s">
        <v>133</v>
      </c>
      <c r="B1367" t="s">
        <v>1311</v>
      </c>
      <c r="C1367">
        <v>0</v>
      </c>
      <c r="D1367">
        <v>0</v>
      </c>
      <c r="E1367">
        <v>0</v>
      </c>
      <c r="F1367">
        <v>0</v>
      </c>
      <c r="G1367">
        <v>0</v>
      </c>
      <c r="H1367">
        <v>0</v>
      </c>
      <c r="I1367">
        <v>0</v>
      </c>
      <c r="J1367">
        <v>0</v>
      </c>
      <c r="K1367">
        <v>2</v>
      </c>
      <c r="L1367">
        <v>11</v>
      </c>
      <c r="M1367">
        <v>13</v>
      </c>
      <c r="P1367" s="4"/>
    </row>
    <row r="1368" spans="1:16" x14ac:dyDescent="0.3">
      <c r="A1368" t="s">
        <v>133</v>
      </c>
      <c r="B1368" t="s">
        <v>1312</v>
      </c>
      <c r="C1368">
        <v>0</v>
      </c>
      <c r="D1368">
        <v>0</v>
      </c>
      <c r="E1368">
        <v>0</v>
      </c>
      <c r="F1368">
        <v>0</v>
      </c>
      <c r="G1368">
        <v>0</v>
      </c>
      <c r="H1368">
        <v>0</v>
      </c>
      <c r="I1368">
        <v>0</v>
      </c>
      <c r="J1368">
        <v>0</v>
      </c>
      <c r="K1368">
        <v>218</v>
      </c>
      <c r="L1368">
        <v>232</v>
      </c>
      <c r="M1368">
        <v>450</v>
      </c>
      <c r="P1368" s="3"/>
    </row>
    <row r="1369" spans="1:16" x14ac:dyDescent="0.3">
      <c r="A1369" t="s">
        <v>133</v>
      </c>
      <c r="B1369" t="s">
        <v>1313</v>
      </c>
      <c r="C1369">
        <v>0</v>
      </c>
      <c r="D1369">
        <v>0</v>
      </c>
      <c r="E1369">
        <v>0</v>
      </c>
      <c r="F1369">
        <v>0</v>
      </c>
      <c r="G1369">
        <v>0</v>
      </c>
      <c r="H1369">
        <v>0</v>
      </c>
      <c r="I1369">
        <v>0</v>
      </c>
      <c r="J1369">
        <v>0</v>
      </c>
      <c r="K1369">
        <v>0</v>
      </c>
      <c r="L1369">
        <v>23</v>
      </c>
      <c r="M1369">
        <v>23</v>
      </c>
      <c r="P1369" s="4"/>
    </row>
    <row r="1370" spans="1:16" x14ac:dyDescent="0.3">
      <c r="A1370" t="s">
        <v>133</v>
      </c>
      <c r="B1370" t="s">
        <v>1314</v>
      </c>
      <c r="C1370">
        <v>0</v>
      </c>
      <c r="D1370">
        <v>0</v>
      </c>
      <c r="E1370">
        <v>0</v>
      </c>
      <c r="F1370">
        <v>0</v>
      </c>
      <c r="G1370">
        <v>0</v>
      </c>
      <c r="H1370">
        <v>0</v>
      </c>
      <c r="I1370">
        <v>0</v>
      </c>
      <c r="J1370">
        <v>0</v>
      </c>
      <c r="K1370">
        <v>36</v>
      </c>
      <c r="L1370">
        <v>67</v>
      </c>
      <c r="M1370">
        <v>103</v>
      </c>
      <c r="P1370" s="3"/>
    </row>
    <row r="1371" spans="1:16" x14ac:dyDescent="0.3">
      <c r="A1371" t="s">
        <v>133</v>
      </c>
      <c r="B1371" t="s">
        <v>1315</v>
      </c>
      <c r="C1371">
        <v>0</v>
      </c>
      <c r="D1371">
        <v>0</v>
      </c>
      <c r="E1371">
        <v>0</v>
      </c>
      <c r="F1371">
        <v>0</v>
      </c>
      <c r="G1371">
        <v>0</v>
      </c>
      <c r="H1371">
        <v>0</v>
      </c>
      <c r="I1371">
        <v>0</v>
      </c>
      <c r="J1371">
        <v>0</v>
      </c>
      <c r="K1371">
        <v>20</v>
      </c>
      <c r="L1371">
        <v>37</v>
      </c>
      <c r="M1371">
        <v>57</v>
      </c>
      <c r="P1371" s="4"/>
    </row>
    <row r="1372" spans="1:16" x14ac:dyDescent="0.3">
      <c r="A1372" t="s">
        <v>131</v>
      </c>
      <c r="B1372" t="s">
        <v>1316</v>
      </c>
      <c r="C1372">
        <v>0</v>
      </c>
      <c r="D1372">
        <v>0</v>
      </c>
      <c r="E1372">
        <v>0</v>
      </c>
      <c r="F1372">
        <v>71</v>
      </c>
      <c r="G1372">
        <v>31</v>
      </c>
      <c r="H1372">
        <v>3</v>
      </c>
      <c r="I1372">
        <v>4</v>
      </c>
      <c r="J1372">
        <v>5</v>
      </c>
      <c r="K1372">
        <v>0</v>
      </c>
      <c r="L1372">
        <v>0</v>
      </c>
      <c r="M1372">
        <v>114</v>
      </c>
      <c r="P1372" s="3"/>
    </row>
    <row r="1373" spans="1:16" x14ac:dyDescent="0.3">
      <c r="A1373" t="s">
        <v>136</v>
      </c>
      <c r="B1373" t="s">
        <v>1316</v>
      </c>
      <c r="C1373">
        <v>0</v>
      </c>
      <c r="D1373">
        <v>0</v>
      </c>
      <c r="E1373">
        <v>0</v>
      </c>
      <c r="F1373">
        <v>1</v>
      </c>
      <c r="G1373">
        <v>0</v>
      </c>
      <c r="H1373">
        <v>0</v>
      </c>
      <c r="I1373">
        <v>0</v>
      </c>
      <c r="J1373">
        <v>0</v>
      </c>
      <c r="K1373">
        <v>0</v>
      </c>
      <c r="L1373">
        <v>0</v>
      </c>
      <c r="M1373">
        <v>1</v>
      </c>
      <c r="P1373" s="4"/>
    </row>
    <row r="1374" spans="1:16" x14ac:dyDescent="0.3">
      <c r="A1374" t="s">
        <v>133</v>
      </c>
      <c r="B1374" t="s">
        <v>1317</v>
      </c>
      <c r="C1374">
        <v>0</v>
      </c>
      <c r="D1374">
        <v>0</v>
      </c>
      <c r="E1374">
        <v>0</v>
      </c>
      <c r="F1374">
        <v>0</v>
      </c>
      <c r="G1374">
        <v>0</v>
      </c>
      <c r="H1374">
        <v>0</v>
      </c>
      <c r="I1374">
        <v>0</v>
      </c>
      <c r="J1374">
        <v>35</v>
      </c>
      <c r="K1374">
        <v>128</v>
      </c>
      <c r="L1374">
        <v>48</v>
      </c>
      <c r="M1374">
        <v>211</v>
      </c>
      <c r="P1374" s="3"/>
    </row>
    <row r="1375" spans="1:16" x14ac:dyDescent="0.3">
      <c r="A1375" t="s">
        <v>133</v>
      </c>
      <c r="B1375" t="s">
        <v>1318</v>
      </c>
      <c r="C1375">
        <v>0</v>
      </c>
      <c r="D1375">
        <v>0</v>
      </c>
      <c r="E1375">
        <v>0</v>
      </c>
      <c r="F1375">
        <v>0</v>
      </c>
      <c r="G1375">
        <v>0</v>
      </c>
      <c r="H1375">
        <v>0</v>
      </c>
      <c r="I1375">
        <v>0</v>
      </c>
      <c r="J1375">
        <v>0</v>
      </c>
      <c r="K1375">
        <v>32</v>
      </c>
      <c r="L1375">
        <v>7</v>
      </c>
      <c r="M1375">
        <v>39</v>
      </c>
      <c r="P1375" s="4"/>
    </row>
    <row r="1376" spans="1:16" x14ac:dyDescent="0.3">
      <c r="A1376" t="s">
        <v>131</v>
      </c>
      <c r="B1376" t="s">
        <v>1319</v>
      </c>
      <c r="C1376">
        <v>0</v>
      </c>
      <c r="D1376">
        <v>0</v>
      </c>
      <c r="E1376">
        <v>0</v>
      </c>
      <c r="F1376">
        <v>16</v>
      </c>
      <c r="G1376">
        <v>2</v>
      </c>
      <c r="H1376">
        <v>2</v>
      </c>
      <c r="I1376">
        <v>1</v>
      </c>
      <c r="J1376">
        <v>0</v>
      </c>
      <c r="K1376">
        <v>0</v>
      </c>
      <c r="L1376">
        <v>0</v>
      </c>
      <c r="M1376">
        <v>21</v>
      </c>
      <c r="P1376" s="3"/>
    </row>
    <row r="1377" spans="1:16" x14ac:dyDescent="0.3">
      <c r="A1377" t="s">
        <v>131</v>
      </c>
      <c r="B1377" t="s">
        <v>1320</v>
      </c>
      <c r="C1377">
        <v>0</v>
      </c>
      <c r="D1377">
        <v>10</v>
      </c>
      <c r="E1377">
        <v>605</v>
      </c>
      <c r="F1377">
        <v>789</v>
      </c>
      <c r="G1377">
        <v>1621</v>
      </c>
      <c r="H1377">
        <v>1281</v>
      </c>
      <c r="I1377">
        <v>931</v>
      </c>
      <c r="J1377">
        <v>1561</v>
      </c>
      <c r="K1377">
        <v>2836</v>
      </c>
      <c r="L1377">
        <v>2626</v>
      </c>
      <c r="M1377">
        <v>12260</v>
      </c>
      <c r="P1377" s="4"/>
    </row>
    <row r="1378" spans="1:16" x14ac:dyDescent="0.3">
      <c r="A1378" t="s">
        <v>136</v>
      </c>
      <c r="B1378" t="s">
        <v>1320</v>
      </c>
      <c r="C1378">
        <v>0</v>
      </c>
      <c r="D1378">
        <v>0</v>
      </c>
      <c r="E1378">
        <v>0</v>
      </c>
      <c r="F1378">
        <v>0</v>
      </c>
      <c r="G1378">
        <v>0</v>
      </c>
      <c r="H1378">
        <v>0</v>
      </c>
      <c r="I1378">
        <v>0</v>
      </c>
      <c r="J1378">
        <v>1</v>
      </c>
      <c r="K1378">
        <v>0</v>
      </c>
      <c r="L1378">
        <v>0</v>
      </c>
      <c r="M1378">
        <v>1</v>
      </c>
      <c r="P1378" s="3"/>
    </row>
    <row r="1379" spans="1:16" x14ac:dyDescent="0.3">
      <c r="A1379" t="s">
        <v>131</v>
      </c>
      <c r="B1379" t="s">
        <v>1321</v>
      </c>
      <c r="C1379">
        <v>0</v>
      </c>
      <c r="D1379">
        <v>0</v>
      </c>
      <c r="E1379">
        <v>0</v>
      </c>
      <c r="F1379">
        <v>0</v>
      </c>
      <c r="G1379">
        <v>0</v>
      </c>
      <c r="H1379">
        <v>0</v>
      </c>
      <c r="I1379">
        <v>118</v>
      </c>
      <c r="J1379">
        <v>223</v>
      </c>
      <c r="K1379">
        <v>718</v>
      </c>
      <c r="L1379">
        <v>612</v>
      </c>
      <c r="M1379">
        <v>1671</v>
      </c>
      <c r="P1379" s="4"/>
    </row>
    <row r="1380" spans="1:16" x14ac:dyDescent="0.3">
      <c r="A1380" t="s">
        <v>131</v>
      </c>
      <c r="B1380" t="s">
        <v>1322</v>
      </c>
      <c r="C1380">
        <v>0</v>
      </c>
      <c r="D1380">
        <v>0</v>
      </c>
      <c r="E1380">
        <v>0</v>
      </c>
      <c r="F1380">
        <v>0</v>
      </c>
      <c r="G1380">
        <v>0</v>
      </c>
      <c r="H1380">
        <v>0</v>
      </c>
      <c r="I1380">
        <v>0</v>
      </c>
      <c r="J1380">
        <v>382</v>
      </c>
      <c r="K1380">
        <v>3563</v>
      </c>
      <c r="L1380">
        <v>3578</v>
      </c>
      <c r="M1380">
        <v>7523</v>
      </c>
      <c r="P1380" s="3"/>
    </row>
    <row r="1381" spans="1:16" x14ac:dyDescent="0.3">
      <c r="A1381" t="s">
        <v>131</v>
      </c>
      <c r="B1381" t="s">
        <v>1323</v>
      </c>
      <c r="C1381">
        <v>0</v>
      </c>
      <c r="D1381">
        <v>0</v>
      </c>
      <c r="E1381">
        <v>0</v>
      </c>
      <c r="F1381">
        <v>0</v>
      </c>
      <c r="G1381">
        <v>0</v>
      </c>
      <c r="H1381">
        <v>0</v>
      </c>
      <c r="I1381">
        <v>0</v>
      </c>
      <c r="J1381">
        <v>3</v>
      </c>
      <c r="K1381">
        <v>11</v>
      </c>
      <c r="L1381">
        <v>55</v>
      </c>
      <c r="M1381">
        <v>69</v>
      </c>
      <c r="P1381" s="4"/>
    </row>
    <row r="1382" spans="1:16" x14ac:dyDescent="0.3">
      <c r="A1382" t="s">
        <v>131</v>
      </c>
      <c r="B1382" t="s">
        <v>1324</v>
      </c>
      <c r="C1382">
        <v>0</v>
      </c>
      <c r="D1382">
        <v>0</v>
      </c>
      <c r="E1382">
        <v>4</v>
      </c>
      <c r="F1382">
        <v>12</v>
      </c>
      <c r="G1382">
        <v>12</v>
      </c>
      <c r="H1382">
        <v>8</v>
      </c>
      <c r="I1382">
        <v>15</v>
      </c>
      <c r="J1382">
        <v>23</v>
      </c>
      <c r="K1382">
        <v>37</v>
      </c>
      <c r="L1382">
        <v>19</v>
      </c>
      <c r="M1382">
        <v>130</v>
      </c>
      <c r="P1382" s="3"/>
    </row>
    <row r="1383" spans="1:16" x14ac:dyDescent="0.3">
      <c r="A1383" t="s">
        <v>133</v>
      </c>
      <c r="B1383" t="s">
        <v>1325</v>
      </c>
      <c r="C1383">
        <v>0</v>
      </c>
      <c r="D1383">
        <v>0</v>
      </c>
      <c r="E1383">
        <v>0</v>
      </c>
      <c r="F1383">
        <v>0</v>
      </c>
      <c r="G1383">
        <v>0</v>
      </c>
      <c r="H1383">
        <v>0</v>
      </c>
      <c r="I1383">
        <v>0</v>
      </c>
      <c r="J1383">
        <v>21</v>
      </c>
      <c r="K1383">
        <v>45</v>
      </c>
      <c r="L1383">
        <v>9</v>
      </c>
      <c r="M1383">
        <v>75</v>
      </c>
      <c r="P1383" s="4"/>
    </row>
    <row r="1384" spans="1:16" x14ac:dyDescent="0.3">
      <c r="A1384" t="s">
        <v>133</v>
      </c>
      <c r="B1384" t="s">
        <v>1326</v>
      </c>
      <c r="C1384">
        <v>0</v>
      </c>
      <c r="D1384">
        <v>0</v>
      </c>
      <c r="E1384">
        <v>0</v>
      </c>
      <c r="F1384">
        <v>0</v>
      </c>
      <c r="G1384">
        <v>0</v>
      </c>
      <c r="H1384">
        <v>0</v>
      </c>
      <c r="I1384">
        <v>0</v>
      </c>
      <c r="J1384">
        <v>0</v>
      </c>
      <c r="K1384">
        <v>64</v>
      </c>
      <c r="L1384">
        <v>6</v>
      </c>
      <c r="M1384">
        <v>70</v>
      </c>
      <c r="P1384" s="3"/>
    </row>
    <row r="1385" spans="1:16" x14ac:dyDescent="0.3">
      <c r="A1385" t="s">
        <v>133</v>
      </c>
      <c r="B1385" t="s">
        <v>1327</v>
      </c>
      <c r="C1385">
        <v>0</v>
      </c>
      <c r="D1385">
        <v>0</v>
      </c>
      <c r="E1385">
        <v>0</v>
      </c>
      <c r="F1385">
        <v>0</v>
      </c>
      <c r="G1385">
        <v>0</v>
      </c>
      <c r="H1385">
        <v>0</v>
      </c>
      <c r="I1385">
        <v>0</v>
      </c>
      <c r="J1385">
        <v>0</v>
      </c>
      <c r="K1385">
        <v>0</v>
      </c>
      <c r="L1385">
        <v>54</v>
      </c>
      <c r="M1385">
        <v>54</v>
      </c>
      <c r="P1385" s="4"/>
    </row>
    <row r="1386" spans="1:16" x14ac:dyDescent="0.3">
      <c r="A1386" t="s">
        <v>133</v>
      </c>
      <c r="B1386" t="s">
        <v>1328</v>
      </c>
      <c r="C1386">
        <v>0</v>
      </c>
      <c r="D1386">
        <v>0</v>
      </c>
      <c r="E1386">
        <v>0</v>
      </c>
      <c r="F1386">
        <v>0</v>
      </c>
      <c r="G1386">
        <v>0</v>
      </c>
      <c r="H1386">
        <v>0</v>
      </c>
      <c r="I1386">
        <v>0</v>
      </c>
      <c r="J1386">
        <v>0</v>
      </c>
      <c r="K1386">
        <v>0</v>
      </c>
      <c r="L1386">
        <v>5</v>
      </c>
      <c r="M1386">
        <v>5</v>
      </c>
      <c r="P1386" s="3"/>
    </row>
    <row r="1387" spans="1:16" x14ac:dyDescent="0.3">
      <c r="A1387" t="s">
        <v>131</v>
      </c>
      <c r="B1387" t="s">
        <v>1329</v>
      </c>
      <c r="C1387">
        <v>0</v>
      </c>
      <c r="D1387">
        <v>0</v>
      </c>
      <c r="E1387">
        <v>0</v>
      </c>
      <c r="F1387">
        <v>0</v>
      </c>
      <c r="G1387">
        <v>0</v>
      </c>
      <c r="H1387">
        <v>0</v>
      </c>
      <c r="I1387">
        <v>0</v>
      </c>
      <c r="J1387">
        <v>5</v>
      </c>
      <c r="K1387">
        <v>131</v>
      </c>
      <c r="L1387">
        <v>74</v>
      </c>
      <c r="M1387">
        <v>210</v>
      </c>
      <c r="P1387" s="4"/>
    </row>
    <row r="1388" spans="1:16" x14ac:dyDescent="0.3">
      <c r="L1388" t="s">
        <v>1385</v>
      </c>
      <c r="M1388" s="7">
        <f>SUM(M2:M1387)</f>
        <v>4420903</v>
      </c>
    </row>
  </sheetData>
  <conditionalFormatting sqref="C1:L1388">
    <cfRule type="cellIs" priority="2" operator="notEqual">
      <formula>NOT(isnumber)</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5"/>
  <sheetViews>
    <sheetView topLeftCell="A23" workbookViewId="0">
      <selection activeCell="R3" sqref="R3"/>
    </sheetView>
  </sheetViews>
  <sheetFormatPr defaultRowHeight="14.4" x14ac:dyDescent="0.3"/>
  <cols>
    <col min="1" max="1" width="10.33203125" bestFit="1" customWidth="1"/>
    <col min="2" max="2" width="34.6640625" bestFit="1" customWidth="1"/>
    <col min="3" max="3" width="23.109375" bestFit="1" customWidth="1"/>
    <col min="4" max="4" width="23.6640625" bestFit="1" customWidth="1"/>
    <col min="5" max="5" width="27.109375" bestFit="1" customWidth="1"/>
    <col min="6" max="6" width="22.33203125" bestFit="1" customWidth="1"/>
    <col min="7" max="7" width="22.77734375" bestFit="1" customWidth="1"/>
    <col min="8" max="8" width="26.33203125" bestFit="1" customWidth="1"/>
    <col min="9" max="9" width="25.21875" bestFit="1" customWidth="1"/>
    <col min="10" max="10" width="29.21875" bestFit="1" customWidth="1"/>
    <col min="11" max="11" width="25.6640625" bestFit="1" customWidth="1"/>
    <col min="12" max="12" width="32" bestFit="1" customWidth="1"/>
    <col min="13" max="13" width="20.88671875" bestFit="1" customWidth="1"/>
    <col min="14" max="14" width="34.109375" bestFit="1" customWidth="1"/>
    <col min="15" max="15" width="19.5546875" bestFit="1" customWidth="1"/>
    <col min="16" max="16" width="19.6640625" bestFit="1" customWidth="1"/>
    <col min="17" max="17" width="18.21875" bestFit="1" customWidth="1"/>
    <col min="18" max="18" width="18" bestFit="1" customWidth="1"/>
  </cols>
  <sheetData>
    <row r="1" spans="1:20" x14ac:dyDescent="0.3">
      <c r="A1" t="s">
        <v>112</v>
      </c>
      <c r="B1" t="s">
        <v>113</v>
      </c>
      <c r="C1" t="s">
        <v>114</v>
      </c>
      <c r="D1" t="s">
        <v>115</v>
      </c>
      <c r="E1" t="s">
        <v>116</v>
      </c>
      <c r="F1" t="s">
        <v>117</v>
      </c>
      <c r="G1" t="s">
        <v>118</v>
      </c>
      <c r="H1" t="s">
        <v>119</v>
      </c>
      <c r="I1" t="s">
        <v>120</v>
      </c>
      <c r="J1" t="s">
        <v>121</v>
      </c>
      <c r="K1" t="s">
        <v>122</v>
      </c>
      <c r="L1" t="s">
        <v>123</v>
      </c>
      <c r="M1" t="s">
        <v>124</v>
      </c>
      <c r="N1" t="s">
        <v>125</v>
      </c>
      <c r="O1" t="s">
        <v>126</v>
      </c>
      <c r="P1" t="s">
        <v>127</v>
      </c>
      <c r="Q1" t="s">
        <v>128</v>
      </c>
      <c r="R1" t="s">
        <v>1353</v>
      </c>
    </row>
    <row r="2" spans="1:20" x14ac:dyDescent="0.3">
      <c r="A2">
        <v>0</v>
      </c>
      <c r="B2">
        <v>0</v>
      </c>
      <c r="C2">
        <v>0</v>
      </c>
      <c r="D2">
        <v>0</v>
      </c>
      <c r="E2">
        <v>0</v>
      </c>
      <c r="F2">
        <v>0</v>
      </c>
      <c r="G2">
        <v>0</v>
      </c>
      <c r="H2">
        <v>0</v>
      </c>
      <c r="I2">
        <v>0</v>
      </c>
      <c r="J2">
        <v>0</v>
      </c>
      <c r="K2">
        <v>0</v>
      </c>
      <c r="L2">
        <v>0</v>
      </c>
      <c r="M2">
        <v>0</v>
      </c>
      <c r="N2">
        <v>0</v>
      </c>
      <c r="O2">
        <v>0</v>
      </c>
      <c r="P2">
        <v>0</v>
      </c>
      <c r="Q2">
        <v>0</v>
      </c>
      <c r="R2">
        <f>SUM(Table10[[#This Row],[FOUR WHEELER (INVALID CARRIAGE)]:[TWO WHEELER(T)]])</f>
        <v>0</v>
      </c>
    </row>
    <row r="3" spans="1:20" x14ac:dyDescent="0.3">
      <c r="A3" s="1">
        <v>36892</v>
      </c>
      <c r="B3">
        <v>0</v>
      </c>
      <c r="C3">
        <v>1</v>
      </c>
      <c r="D3">
        <v>0</v>
      </c>
      <c r="E3">
        <v>0</v>
      </c>
      <c r="F3">
        <v>9</v>
      </c>
      <c r="G3">
        <v>15</v>
      </c>
      <c r="H3">
        <v>1</v>
      </c>
      <c r="I3">
        <v>0</v>
      </c>
      <c r="J3">
        <v>0</v>
      </c>
      <c r="K3">
        <v>0</v>
      </c>
      <c r="L3">
        <v>2</v>
      </c>
      <c r="M3">
        <v>0</v>
      </c>
      <c r="N3">
        <v>0</v>
      </c>
      <c r="O3">
        <v>2</v>
      </c>
      <c r="P3">
        <v>62</v>
      </c>
      <c r="Q3">
        <v>0</v>
      </c>
      <c r="R3">
        <f>SUM(Table10[[#This Row],[FOUR WHEELER (INVALID CARRIAGE)]:[TWO WHEELER(T)]])</f>
        <v>92</v>
      </c>
      <c r="T3" t="b">
        <f>ISNUMBER(A2)</f>
        <v>1</v>
      </c>
    </row>
    <row r="4" spans="1:20" x14ac:dyDescent="0.3">
      <c r="A4" s="1">
        <v>37257</v>
      </c>
      <c r="B4">
        <v>0</v>
      </c>
      <c r="C4">
        <v>2</v>
      </c>
      <c r="D4">
        <v>1</v>
      </c>
      <c r="E4">
        <v>0</v>
      </c>
      <c r="F4">
        <v>266</v>
      </c>
      <c r="G4">
        <v>11</v>
      </c>
      <c r="H4">
        <v>5</v>
      </c>
      <c r="I4">
        <v>0</v>
      </c>
      <c r="J4">
        <v>0</v>
      </c>
      <c r="K4">
        <v>0</v>
      </c>
      <c r="L4">
        <v>0</v>
      </c>
      <c r="M4">
        <v>0</v>
      </c>
      <c r="N4">
        <v>0</v>
      </c>
      <c r="O4">
        <v>2</v>
      </c>
      <c r="P4">
        <v>11</v>
      </c>
      <c r="Q4">
        <v>0</v>
      </c>
      <c r="R4">
        <f>SUM(Table10[[#This Row],[FOUR WHEELER (INVALID CARRIAGE)]:[TWO WHEELER(T)]])</f>
        <v>298</v>
      </c>
    </row>
    <row r="5" spans="1:20" x14ac:dyDescent="0.3">
      <c r="A5" s="1">
        <v>37622</v>
      </c>
      <c r="B5">
        <v>0</v>
      </c>
      <c r="C5">
        <v>1</v>
      </c>
      <c r="D5">
        <v>2</v>
      </c>
      <c r="E5">
        <v>0</v>
      </c>
      <c r="F5">
        <v>35</v>
      </c>
      <c r="G5">
        <v>15</v>
      </c>
      <c r="H5">
        <v>1</v>
      </c>
      <c r="I5">
        <v>0</v>
      </c>
      <c r="J5">
        <v>0</v>
      </c>
      <c r="K5">
        <v>0</v>
      </c>
      <c r="L5">
        <v>1</v>
      </c>
      <c r="M5">
        <v>0</v>
      </c>
      <c r="N5">
        <v>0</v>
      </c>
      <c r="O5">
        <v>9</v>
      </c>
      <c r="P5">
        <v>18</v>
      </c>
      <c r="Q5">
        <v>0</v>
      </c>
      <c r="R5">
        <f>SUM(Table10[[#This Row],[FOUR WHEELER (INVALID CARRIAGE)]:[TWO WHEELER(T)]])</f>
        <v>82</v>
      </c>
    </row>
    <row r="6" spans="1:20" x14ac:dyDescent="0.3">
      <c r="A6" s="1">
        <v>37987</v>
      </c>
      <c r="B6">
        <v>0</v>
      </c>
      <c r="C6">
        <v>2</v>
      </c>
      <c r="D6">
        <v>0</v>
      </c>
      <c r="E6">
        <v>1</v>
      </c>
      <c r="F6">
        <v>14</v>
      </c>
      <c r="G6">
        <v>17</v>
      </c>
      <c r="H6">
        <v>1</v>
      </c>
      <c r="I6">
        <v>0</v>
      </c>
      <c r="J6">
        <v>0</v>
      </c>
      <c r="K6">
        <v>1</v>
      </c>
      <c r="L6">
        <v>2</v>
      </c>
      <c r="M6">
        <v>0</v>
      </c>
      <c r="N6">
        <v>0</v>
      </c>
      <c r="O6">
        <v>1</v>
      </c>
      <c r="P6">
        <v>21</v>
      </c>
      <c r="Q6">
        <v>0</v>
      </c>
      <c r="R6">
        <f>SUM(Table10[[#This Row],[FOUR WHEELER (INVALID CARRIAGE)]:[TWO WHEELER(T)]])</f>
        <v>60</v>
      </c>
    </row>
    <row r="7" spans="1:20" x14ac:dyDescent="0.3">
      <c r="A7" s="1">
        <v>38353</v>
      </c>
      <c r="B7">
        <v>0</v>
      </c>
      <c r="C7">
        <v>0</v>
      </c>
      <c r="D7">
        <v>0</v>
      </c>
      <c r="E7">
        <v>0</v>
      </c>
      <c r="F7">
        <v>10</v>
      </c>
      <c r="G7">
        <v>14</v>
      </c>
      <c r="H7">
        <v>1</v>
      </c>
      <c r="I7">
        <v>0</v>
      </c>
      <c r="J7">
        <v>0</v>
      </c>
      <c r="K7">
        <v>0</v>
      </c>
      <c r="L7">
        <v>0</v>
      </c>
      <c r="M7">
        <v>0</v>
      </c>
      <c r="N7">
        <v>0</v>
      </c>
      <c r="O7">
        <v>1</v>
      </c>
      <c r="P7">
        <v>38</v>
      </c>
      <c r="Q7">
        <v>0</v>
      </c>
      <c r="R7">
        <f>SUM(Table10[[#This Row],[FOUR WHEELER (INVALID CARRIAGE)]:[TWO WHEELER(T)]])</f>
        <v>64</v>
      </c>
    </row>
    <row r="8" spans="1:20" x14ac:dyDescent="0.3">
      <c r="A8" s="1">
        <v>38718</v>
      </c>
      <c r="B8">
        <v>0</v>
      </c>
      <c r="C8">
        <v>1</v>
      </c>
      <c r="D8">
        <v>0</v>
      </c>
      <c r="E8">
        <v>0</v>
      </c>
      <c r="F8">
        <v>9</v>
      </c>
      <c r="G8">
        <v>15</v>
      </c>
      <c r="H8">
        <v>1</v>
      </c>
      <c r="I8">
        <v>0</v>
      </c>
      <c r="J8">
        <v>0</v>
      </c>
      <c r="K8">
        <v>0</v>
      </c>
      <c r="L8">
        <v>2</v>
      </c>
      <c r="M8">
        <v>0</v>
      </c>
      <c r="N8">
        <v>0</v>
      </c>
      <c r="O8">
        <v>2</v>
      </c>
      <c r="P8">
        <v>62</v>
      </c>
      <c r="Q8">
        <v>0</v>
      </c>
      <c r="R8">
        <f>SUM(Table10[[#This Row],[FOUR WHEELER (INVALID CARRIAGE)]:[TWO WHEELER(T)]])</f>
        <v>92</v>
      </c>
    </row>
    <row r="9" spans="1:20" x14ac:dyDescent="0.3">
      <c r="A9" s="1">
        <v>39083</v>
      </c>
      <c r="B9">
        <v>0</v>
      </c>
      <c r="C9">
        <v>3</v>
      </c>
      <c r="D9">
        <v>3</v>
      </c>
      <c r="E9">
        <v>0</v>
      </c>
      <c r="F9">
        <v>7</v>
      </c>
      <c r="G9">
        <v>20</v>
      </c>
      <c r="H9">
        <v>0</v>
      </c>
      <c r="I9">
        <v>0</v>
      </c>
      <c r="J9">
        <v>0</v>
      </c>
      <c r="K9">
        <v>0</v>
      </c>
      <c r="L9">
        <v>0</v>
      </c>
      <c r="M9">
        <v>0</v>
      </c>
      <c r="N9">
        <v>0</v>
      </c>
      <c r="O9">
        <v>2</v>
      </c>
      <c r="P9">
        <v>119</v>
      </c>
      <c r="Q9">
        <v>0</v>
      </c>
      <c r="R9">
        <f>SUM(Table10[[#This Row],[FOUR WHEELER (INVALID CARRIAGE)]:[TWO WHEELER(T)]])</f>
        <v>154</v>
      </c>
    </row>
    <row r="10" spans="1:20" x14ac:dyDescent="0.3">
      <c r="A10" s="1">
        <v>39448</v>
      </c>
      <c r="B10">
        <v>0</v>
      </c>
      <c r="C10">
        <v>0</v>
      </c>
      <c r="D10">
        <v>2</v>
      </c>
      <c r="E10">
        <v>0</v>
      </c>
      <c r="F10">
        <v>6</v>
      </c>
      <c r="G10">
        <v>40</v>
      </c>
      <c r="H10">
        <v>3</v>
      </c>
      <c r="I10">
        <v>0</v>
      </c>
      <c r="J10">
        <v>0</v>
      </c>
      <c r="K10">
        <v>0</v>
      </c>
      <c r="L10">
        <v>2</v>
      </c>
      <c r="M10">
        <v>0</v>
      </c>
      <c r="N10">
        <v>0</v>
      </c>
      <c r="O10">
        <v>2</v>
      </c>
      <c r="P10">
        <v>518</v>
      </c>
      <c r="Q10">
        <v>0</v>
      </c>
      <c r="R10">
        <f>SUM(Table10[[#This Row],[FOUR WHEELER (INVALID CARRIAGE)]:[TWO WHEELER(T)]])</f>
        <v>573</v>
      </c>
    </row>
    <row r="11" spans="1:20" x14ac:dyDescent="0.3">
      <c r="A11" s="1">
        <v>39814</v>
      </c>
      <c r="B11">
        <v>0</v>
      </c>
      <c r="C11">
        <v>0</v>
      </c>
      <c r="D11">
        <v>0</v>
      </c>
      <c r="E11">
        <v>0</v>
      </c>
      <c r="F11">
        <v>2</v>
      </c>
      <c r="G11">
        <v>41</v>
      </c>
      <c r="H11">
        <v>0</v>
      </c>
      <c r="I11">
        <v>0</v>
      </c>
      <c r="J11">
        <v>0</v>
      </c>
      <c r="K11">
        <v>0</v>
      </c>
      <c r="L11">
        <v>1</v>
      </c>
      <c r="M11">
        <v>0</v>
      </c>
      <c r="N11">
        <v>0</v>
      </c>
      <c r="O11">
        <v>1</v>
      </c>
      <c r="P11">
        <v>965</v>
      </c>
      <c r="Q11">
        <v>0</v>
      </c>
      <c r="R11">
        <f>SUM(Table10[[#This Row],[FOUR WHEELER (INVALID CARRIAGE)]:[TWO WHEELER(T)]])</f>
        <v>1010</v>
      </c>
    </row>
    <row r="12" spans="1:20" x14ac:dyDescent="0.3">
      <c r="A12" s="1">
        <v>40179</v>
      </c>
      <c r="B12">
        <v>0</v>
      </c>
      <c r="C12">
        <v>0</v>
      </c>
      <c r="D12">
        <v>0</v>
      </c>
      <c r="E12">
        <v>0</v>
      </c>
      <c r="F12">
        <v>7</v>
      </c>
      <c r="G12">
        <v>17</v>
      </c>
      <c r="H12">
        <v>0</v>
      </c>
      <c r="I12">
        <v>0</v>
      </c>
      <c r="J12">
        <v>0</v>
      </c>
      <c r="K12">
        <v>0</v>
      </c>
      <c r="L12">
        <v>0</v>
      </c>
      <c r="M12">
        <v>0</v>
      </c>
      <c r="N12">
        <v>0</v>
      </c>
      <c r="O12">
        <v>4</v>
      </c>
      <c r="P12">
        <v>357</v>
      </c>
      <c r="Q12">
        <v>0</v>
      </c>
      <c r="R12">
        <f>SUM(Table10[[#This Row],[FOUR WHEELER (INVALID CARRIAGE)]:[TWO WHEELER(T)]])</f>
        <v>385</v>
      </c>
    </row>
    <row r="13" spans="1:20" x14ac:dyDescent="0.3">
      <c r="A13" s="1">
        <v>40544</v>
      </c>
      <c r="B13">
        <v>0</v>
      </c>
      <c r="C13">
        <v>1</v>
      </c>
      <c r="D13">
        <v>0</v>
      </c>
      <c r="E13">
        <v>0</v>
      </c>
      <c r="F13">
        <v>48</v>
      </c>
      <c r="G13">
        <v>70</v>
      </c>
      <c r="H13">
        <v>0</v>
      </c>
      <c r="I13">
        <v>0</v>
      </c>
      <c r="J13">
        <v>0</v>
      </c>
      <c r="K13">
        <v>0</v>
      </c>
      <c r="L13">
        <v>0</v>
      </c>
      <c r="M13">
        <v>0</v>
      </c>
      <c r="N13">
        <v>0</v>
      </c>
      <c r="O13">
        <v>1</v>
      </c>
      <c r="P13">
        <v>317</v>
      </c>
      <c r="Q13">
        <v>0</v>
      </c>
      <c r="R13">
        <f>SUM(Table10[[#This Row],[FOUR WHEELER (INVALID CARRIAGE)]:[TWO WHEELER(T)]])</f>
        <v>437</v>
      </c>
    </row>
    <row r="14" spans="1:20" x14ac:dyDescent="0.3">
      <c r="A14" s="1">
        <v>40909</v>
      </c>
      <c r="B14">
        <v>0</v>
      </c>
      <c r="C14">
        <v>2</v>
      </c>
      <c r="D14">
        <v>0</v>
      </c>
      <c r="E14">
        <v>0</v>
      </c>
      <c r="F14">
        <v>8</v>
      </c>
      <c r="G14">
        <v>87</v>
      </c>
      <c r="H14">
        <v>5</v>
      </c>
      <c r="I14">
        <v>0</v>
      </c>
      <c r="J14">
        <v>0</v>
      </c>
      <c r="K14">
        <v>0</v>
      </c>
      <c r="L14">
        <v>0</v>
      </c>
      <c r="M14">
        <v>0</v>
      </c>
      <c r="N14">
        <v>0</v>
      </c>
      <c r="O14">
        <v>1</v>
      </c>
      <c r="P14">
        <v>560</v>
      </c>
      <c r="Q14">
        <v>0</v>
      </c>
      <c r="R14">
        <f>SUM(Table10[[#This Row],[FOUR WHEELER (INVALID CARRIAGE)]:[TWO WHEELER(T)]])</f>
        <v>663</v>
      </c>
    </row>
    <row r="15" spans="1:20" x14ac:dyDescent="0.3">
      <c r="A15" s="1">
        <v>41275</v>
      </c>
      <c r="B15">
        <v>0</v>
      </c>
      <c r="C15">
        <v>3</v>
      </c>
      <c r="D15">
        <v>1</v>
      </c>
      <c r="E15">
        <v>0</v>
      </c>
      <c r="F15">
        <v>5</v>
      </c>
      <c r="G15">
        <v>27</v>
      </c>
      <c r="H15">
        <v>1</v>
      </c>
      <c r="I15">
        <v>0</v>
      </c>
      <c r="J15">
        <v>0</v>
      </c>
      <c r="K15">
        <v>0</v>
      </c>
      <c r="L15">
        <v>0</v>
      </c>
      <c r="M15">
        <v>0</v>
      </c>
      <c r="N15">
        <v>0</v>
      </c>
      <c r="O15">
        <v>2</v>
      </c>
      <c r="P15">
        <v>209</v>
      </c>
      <c r="Q15">
        <v>0</v>
      </c>
      <c r="R15">
        <f>SUM(Table10[[#This Row],[FOUR WHEELER (INVALID CARRIAGE)]:[TWO WHEELER(T)]])</f>
        <v>248</v>
      </c>
    </row>
    <row r="16" spans="1:20" x14ac:dyDescent="0.3">
      <c r="A16" s="1">
        <v>41640</v>
      </c>
      <c r="B16">
        <v>0</v>
      </c>
      <c r="C16">
        <v>0</v>
      </c>
      <c r="D16">
        <v>0</v>
      </c>
      <c r="E16">
        <v>0</v>
      </c>
      <c r="F16">
        <v>6</v>
      </c>
      <c r="G16">
        <v>46</v>
      </c>
      <c r="H16">
        <v>1</v>
      </c>
      <c r="I16">
        <v>0</v>
      </c>
      <c r="J16">
        <v>0</v>
      </c>
      <c r="K16">
        <v>0</v>
      </c>
      <c r="L16">
        <v>1</v>
      </c>
      <c r="M16">
        <v>0</v>
      </c>
      <c r="N16">
        <v>0</v>
      </c>
      <c r="O16">
        <v>2</v>
      </c>
      <c r="P16">
        <v>175</v>
      </c>
      <c r="Q16">
        <v>0</v>
      </c>
      <c r="R16">
        <f>SUM(Table10[[#This Row],[FOUR WHEELER (INVALID CARRIAGE)]:[TWO WHEELER(T)]])</f>
        <v>231</v>
      </c>
    </row>
    <row r="17" spans="1:18" x14ac:dyDescent="0.3">
      <c r="A17" s="1">
        <v>42005</v>
      </c>
      <c r="B17">
        <v>0</v>
      </c>
      <c r="C17">
        <v>0</v>
      </c>
      <c r="D17">
        <v>0</v>
      </c>
      <c r="E17">
        <v>0</v>
      </c>
      <c r="F17">
        <v>5</v>
      </c>
      <c r="G17">
        <v>76</v>
      </c>
      <c r="H17">
        <v>0</v>
      </c>
      <c r="I17">
        <v>0</v>
      </c>
      <c r="J17">
        <v>0</v>
      </c>
      <c r="K17">
        <v>0</v>
      </c>
      <c r="L17">
        <v>0</v>
      </c>
      <c r="M17">
        <v>0</v>
      </c>
      <c r="N17">
        <v>0</v>
      </c>
      <c r="O17">
        <v>2</v>
      </c>
      <c r="P17">
        <v>93</v>
      </c>
      <c r="Q17">
        <v>0</v>
      </c>
      <c r="R17">
        <f>SUM(Table10[[#This Row],[FOUR WHEELER (INVALID CARRIAGE)]:[TWO WHEELER(T)]])</f>
        <v>176</v>
      </c>
    </row>
    <row r="18" spans="1:18" x14ac:dyDescent="0.3">
      <c r="A18" s="1">
        <v>42370</v>
      </c>
      <c r="B18">
        <v>1</v>
      </c>
      <c r="C18">
        <v>1</v>
      </c>
      <c r="D18">
        <v>0</v>
      </c>
      <c r="E18">
        <v>1</v>
      </c>
      <c r="F18">
        <v>4</v>
      </c>
      <c r="G18">
        <v>86</v>
      </c>
      <c r="H18">
        <v>7</v>
      </c>
      <c r="I18">
        <v>0</v>
      </c>
      <c r="J18">
        <v>0</v>
      </c>
      <c r="K18">
        <v>0</v>
      </c>
      <c r="L18">
        <v>15</v>
      </c>
      <c r="M18">
        <v>0</v>
      </c>
      <c r="N18">
        <v>0</v>
      </c>
      <c r="O18">
        <v>1712</v>
      </c>
      <c r="P18">
        <v>117</v>
      </c>
      <c r="Q18">
        <v>0</v>
      </c>
      <c r="R18">
        <f>SUM(Table10[[#This Row],[FOUR WHEELER (INVALID CARRIAGE)]:[TWO WHEELER(T)]])</f>
        <v>1944</v>
      </c>
    </row>
    <row r="19" spans="1:18" x14ac:dyDescent="0.3">
      <c r="A19" s="1">
        <v>42736</v>
      </c>
      <c r="B19">
        <v>0</v>
      </c>
      <c r="C19">
        <v>0</v>
      </c>
      <c r="D19">
        <v>0</v>
      </c>
      <c r="E19">
        <v>0</v>
      </c>
      <c r="F19">
        <v>10</v>
      </c>
      <c r="G19">
        <v>72</v>
      </c>
      <c r="H19">
        <v>21</v>
      </c>
      <c r="I19">
        <v>0</v>
      </c>
      <c r="J19">
        <v>0</v>
      </c>
      <c r="K19">
        <v>0</v>
      </c>
      <c r="L19">
        <v>16</v>
      </c>
      <c r="M19">
        <v>0</v>
      </c>
      <c r="N19">
        <v>0</v>
      </c>
      <c r="O19">
        <v>4351</v>
      </c>
      <c r="P19">
        <v>108</v>
      </c>
      <c r="Q19">
        <v>0</v>
      </c>
      <c r="R19">
        <f>SUM(Table10[[#This Row],[FOUR WHEELER (INVALID CARRIAGE)]:[TWO WHEELER(T)]])</f>
        <v>4578</v>
      </c>
    </row>
    <row r="20" spans="1:18" x14ac:dyDescent="0.3">
      <c r="A20" s="1">
        <v>43101</v>
      </c>
      <c r="B20">
        <v>0</v>
      </c>
      <c r="C20">
        <v>0</v>
      </c>
      <c r="D20">
        <v>0</v>
      </c>
      <c r="E20">
        <v>0</v>
      </c>
      <c r="F20">
        <v>112</v>
      </c>
      <c r="G20">
        <v>69</v>
      </c>
      <c r="H20">
        <v>27</v>
      </c>
      <c r="I20">
        <v>1</v>
      </c>
      <c r="J20">
        <v>0</v>
      </c>
      <c r="K20">
        <v>0</v>
      </c>
      <c r="L20">
        <v>47</v>
      </c>
      <c r="M20">
        <v>13</v>
      </c>
      <c r="N20">
        <v>0</v>
      </c>
      <c r="O20">
        <v>8559</v>
      </c>
      <c r="P20">
        <v>176</v>
      </c>
      <c r="Q20">
        <v>0</v>
      </c>
      <c r="R20">
        <f>SUM(Table10[[#This Row],[FOUR WHEELER (INVALID CARRIAGE)]:[TWO WHEELER(T)]])</f>
        <v>9004</v>
      </c>
    </row>
    <row r="21" spans="1:18" x14ac:dyDescent="0.3">
      <c r="A21" s="1">
        <v>43466</v>
      </c>
      <c r="B21">
        <v>0</v>
      </c>
      <c r="C21">
        <v>0</v>
      </c>
      <c r="D21">
        <v>0</v>
      </c>
      <c r="E21">
        <v>5</v>
      </c>
      <c r="F21">
        <v>11</v>
      </c>
      <c r="G21">
        <v>64</v>
      </c>
      <c r="H21">
        <v>9</v>
      </c>
      <c r="I21">
        <v>0</v>
      </c>
      <c r="J21">
        <v>0</v>
      </c>
      <c r="K21">
        <v>0</v>
      </c>
      <c r="L21">
        <v>10</v>
      </c>
      <c r="M21">
        <v>1</v>
      </c>
      <c r="N21">
        <v>24</v>
      </c>
      <c r="O21">
        <v>10532</v>
      </c>
      <c r="P21">
        <v>2514</v>
      </c>
      <c r="Q21">
        <v>208</v>
      </c>
      <c r="R21">
        <f>SUM(Table10[[#This Row],[FOUR WHEELER (INVALID CARRIAGE)]:[TWO WHEELER(T)]])</f>
        <v>13378</v>
      </c>
    </row>
    <row r="22" spans="1:18" x14ac:dyDescent="0.3">
      <c r="A22" s="1">
        <v>43831</v>
      </c>
      <c r="B22">
        <v>0</v>
      </c>
      <c r="C22">
        <v>0</v>
      </c>
      <c r="D22">
        <v>0</v>
      </c>
      <c r="E22">
        <v>2</v>
      </c>
      <c r="F22">
        <v>1</v>
      </c>
      <c r="G22">
        <v>84</v>
      </c>
      <c r="H22">
        <v>204</v>
      </c>
      <c r="I22">
        <v>0</v>
      </c>
      <c r="J22">
        <v>7</v>
      </c>
      <c r="K22">
        <v>0</v>
      </c>
      <c r="L22">
        <v>58</v>
      </c>
      <c r="M22">
        <v>7</v>
      </c>
      <c r="N22">
        <v>1</v>
      </c>
      <c r="O22">
        <v>13550</v>
      </c>
      <c r="P22">
        <v>2218</v>
      </c>
      <c r="Q22">
        <v>723</v>
      </c>
      <c r="R22">
        <f>SUM(Table10[[#This Row],[FOUR WHEELER (INVALID CARRIAGE)]:[TWO WHEELER(T)]])</f>
        <v>16855</v>
      </c>
    </row>
    <row r="23" spans="1:18" x14ac:dyDescent="0.3">
      <c r="A23" s="1">
        <v>44197</v>
      </c>
      <c r="B23">
        <v>0</v>
      </c>
      <c r="C23">
        <v>0</v>
      </c>
      <c r="D23">
        <v>0</v>
      </c>
      <c r="E23">
        <v>15</v>
      </c>
      <c r="F23">
        <v>0</v>
      </c>
      <c r="G23">
        <v>579</v>
      </c>
      <c r="H23">
        <v>73</v>
      </c>
      <c r="I23">
        <v>0</v>
      </c>
      <c r="J23">
        <v>24</v>
      </c>
      <c r="K23">
        <v>0</v>
      </c>
      <c r="L23">
        <v>74</v>
      </c>
      <c r="M23">
        <v>11</v>
      </c>
      <c r="N23">
        <v>0</v>
      </c>
      <c r="O23">
        <v>10927</v>
      </c>
      <c r="P23">
        <v>4967</v>
      </c>
      <c r="Q23">
        <v>360</v>
      </c>
      <c r="R23">
        <f>SUM(Table10[[#This Row],[FOUR WHEELER (INVALID CARRIAGE)]:[TWO WHEELER(T)]])</f>
        <v>17030</v>
      </c>
    </row>
    <row r="24" spans="1:18" x14ac:dyDescent="0.3">
      <c r="A24" s="1">
        <v>44562</v>
      </c>
      <c r="B24">
        <v>1</v>
      </c>
      <c r="C24">
        <v>0</v>
      </c>
      <c r="D24">
        <v>0</v>
      </c>
      <c r="E24">
        <v>126</v>
      </c>
      <c r="F24">
        <v>15</v>
      </c>
      <c r="G24">
        <v>1360</v>
      </c>
      <c r="H24">
        <v>202</v>
      </c>
      <c r="I24">
        <v>0</v>
      </c>
      <c r="J24">
        <v>2</v>
      </c>
      <c r="K24">
        <v>0</v>
      </c>
      <c r="L24">
        <v>79</v>
      </c>
      <c r="M24">
        <v>36</v>
      </c>
      <c r="N24">
        <v>0</v>
      </c>
      <c r="O24">
        <v>19526</v>
      </c>
      <c r="P24">
        <v>29511</v>
      </c>
      <c r="Q24">
        <v>631</v>
      </c>
      <c r="R24">
        <f>SUM(Table10[[#This Row],[FOUR WHEELER (INVALID CARRIAGE)]:[TWO WHEELER(T)]])</f>
        <v>51489</v>
      </c>
    </row>
    <row r="25" spans="1:18" x14ac:dyDescent="0.3">
      <c r="A25" s="1">
        <v>44927</v>
      </c>
      <c r="B25">
        <v>1</v>
      </c>
      <c r="C25">
        <v>0</v>
      </c>
      <c r="D25">
        <v>0</v>
      </c>
      <c r="E25">
        <v>138</v>
      </c>
      <c r="F25">
        <v>33</v>
      </c>
      <c r="G25">
        <v>2971</v>
      </c>
      <c r="H25">
        <v>472</v>
      </c>
      <c r="I25">
        <v>0</v>
      </c>
      <c r="J25">
        <v>1</v>
      </c>
      <c r="K25">
        <v>0</v>
      </c>
      <c r="L25">
        <v>171</v>
      </c>
      <c r="M25">
        <v>26</v>
      </c>
      <c r="N25">
        <v>2</v>
      </c>
      <c r="O25">
        <v>34368</v>
      </c>
      <c r="P25">
        <v>64561</v>
      </c>
      <c r="Q25">
        <v>141</v>
      </c>
      <c r="R25">
        <f>SUM(Table10[[#This Row],[FOUR WHEELER (INVALID CARRIAGE)]:[TWO WHEELER(T)]])</f>
        <v>102885</v>
      </c>
    </row>
    <row r="26" spans="1:18" x14ac:dyDescent="0.3">
      <c r="A26" s="1">
        <v>45292</v>
      </c>
      <c r="B26">
        <v>7</v>
      </c>
      <c r="C26">
        <v>21</v>
      </c>
      <c r="D26">
        <v>0</v>
      </c>
      <c r="E26">
        <v>543</v>
      </c>
      <c r="F26">
        <v>397</v>
      </c>
      <c r="G26">
        <v>7024</v>
      </c>
      <c r="H26">
        <v>1453</v>
      </c>
      <c r="I26">
        <v>0</v>
      </c>
      <c r="J26">
        <v>6</v>
      </c>
      <c r="K26">
        <v>0</v>
      </c>
      <c r="L26">
        <v>0</v>
      </c>
      <c r="M26">
        <v>10</v>
      </c>
      <c r="N26">
        <v>1</v>
      </c>
      <c r="O26">
        <v>53451</v>
      </c>
      <c r="P26">
        <v>82093</v>
      </c>
      <c r="Q26">
        <v>41</v>
      </c>
      <c r="R26">
        <f>SUM(Table10[[#This Row],[FOUR WHEELER (INVALID CARRIAGE)]:[TWO WHEELER(T)]])</f>
        <v>145047</v>
      </c>
    </row>
    <row r="27" spans="1:18" x14ac:dyDescent="0.3">
      <c r="A27" s="1">
        <v>36923</v>
      </c>
      <c r="B27">
        <v>0</v>
      </c>
      <c r="C27">
        <v>0</v>
      </c>
      <c r="D27">
        <v>0</v>
      </c>
      <c r="E27">
        <v>0</v>
      </c>
      <c r="F27">
        <v>7</v>
      </c>
      <c r="G27">
        <v>28</v>
      </c>
      <c r="H27">
        <v>0</v>
      </c>
      <c r="I27">
        <v>0</v>
      </c>
      <c r="J27">
        <v>0</v>
      </c>
      <c r="K27">
        <v>0</v>
      </c>
      <c r="L27">
        <v>0</v>
      </c>
      <c r="M27">
        <v>0</v>
      </c>
      <c r="N27">
        <v>0</v>
      </c>
      <c r="O27">
        <v>2</v>
      </c>
      <c r="P27">
        <v>65</v>
      </c>
      <c r="Q27">
        <v>0</v>
      </c>
      <c r="R27">
        <f>SUM(Table10[[#This Row],[FOUR WHEELER (INVALID CARRIAGE)]:[TWO WHEELER(T)]])</f>
        <v>102</v>
      </c>
    </row>
    <row r="28" spans="1:18" x14ac:dyDescent="0.3">
      <c r="A28" s="1">
        <v>37288</v>
      </c>
      <c r="B28">
        <v>0</v>
      </c>
      <c r="C28">
        <v>0</v>
      </c>
      <c r="D28">
        <v>1</v>
      </c>
      <c r="E28">
        <v>0</v>
      </c>
      <c r="F28">
        <v>324</v>
      </c>
      <c r="G28">
        <v>6</v>
      </c>
      <c r="H28">
        <v>11</v>
      </c>
      <c r="I28">
        <v>0</v>
      </c>
      <c r="J28">
        <v>0</v>
      </c>
      <c r="K28">
        <v>0</v>
      </c>
      <c r="L28">
        <v>0</v>
      </c>
      <c r="M28">
        <v>0</v>
      </c>
      <c r="N28">
        <v>0</v>
      </c>
      <c r="O28">
        <v>0</v>
      </c>
      <c r="P28">
        <v>16</v>
      </c>
      <c r="Q28">
        <v>0</v>
      </c>
      <c r="R28">
        <f>SUM(Table10[[#This Row],[FOUR WHEELER (INVALID CARRIAGE)]:[TWO WHEELER(T)]])</f>
        <v>358</v>
      </c>
    </row>
    <row r="29" spans="1:18" x14ac:dyDescent="0.3">
      <c r="A29" s="1">
        <v>37653</v>
      </c>
      <c r="B29">
        <v>0</v>
      </c>
      <c r="C29">
        <v>1</v>
      </c>
      <c r="D29">
        <v>0</v>
      </c>
      <c r="E29">
        <v>0</v>
      </c>
      <c r="F29">
        <v>52</v>
      </c>
      <c r="G29">
        <v>28</v>
      </c>
      <c r="H29">
        <v>4</v>
      </c>
      <c r="I29">
        <v>0</v>
      </c>
      <c r="J29">
        <v>0</v>
      </c>
      <c r="K29">
        <v>0</v>
      </c>
      <c r="L29">
        <v>0</v>
      </c>
      <c r="M29">
        <v>0</v>
      </c>
      <c r="N29">
        <v>0</v>
      </c>
      <c r="O29">
        <v>1</v>
      </c>
      <c r="P29">
        <v>10</v>
      </c>
      <c r="Q29">
        <v>0</v>
      </c>
      <c r="R29">
        <f>SUM(Table10[[#This Row],[FOUR WHEELER (INVALID CARRIAGE)]:[TWO WHEELER(T)]])</f>
        <v>96</v>
      </c>
    </row>
    <row r="30" spans="1:18" x14ac:dyDescent="0.3">
      <c r="A30" s="1">
        <v>38018</v>
      </c>
      <c r="B30">
        <v>0</v>
      </c>
      <c r="C30">
        <v>0</v>
      </c>
      <c r="D30">
        <v>0</v>
      </c>
      <c r="E30">
        <v>0</v>
      </c>
      <c r="F30">
        <v>10</v>
      </c>
      <c r="G30">
        <v>4</v>
      </c>
      <c r="H30">
        <v>0</v>
      </c>
      <c r="I30">
        <v>0</v>
      </c>
      <c r="J30">
        <v>0</v>
      </c>
      <c r="K30">
        <v>0</v>
      </c>
      <c r="L30">
        <v>0</v>
      </c>
      <c r="M30">
        <v>0</v>
      </c>
      <c r="N30">
        <v>0</v>
      </c>
      <c r="O30">
        <v>1</v>
      </c>
      <c r="P30">
        <v>11</v>
      </c>
      <c r="Q30">
        <v>0</v>
      </c>
      <c r="R30">
        <f>SUM(Table10[[#This Row],[FOUR WHEELER (INVALID CARRIAGE)]:[TWO WHEELER(T)]])</f>
        <v>26</v>
      </c>
    </row>
    <row r="31" spans="1:18" x14ac:dyDescent="0.3">
      <c r="A31" s="1">
        <v>38384</v>
      </c>
      <c r="B31">
        <v>0</v>
      </c>
      <c r="C31">
        <v>0</v>
      </c>
      <c r="D31">
        <v>0</v>
      </c>
      <c r="E31">
        <v>0</v>
      </c>
      <c r="F31">
        <v>8</v>
      </c>
      <c r="G31">
        <v>13</v>
      </c>
      <c r="H31">
        <v>1</v>
      </c>
      <c r="I31">
        <v>0</v>
      </c>
      <c r="J31">
        <v>0</v>
      </c>
      <c r="K31">
        <v>0</v>
      </c>
      <c r="L31">
        <v>0</v>
      </c>
      <c r="M31">
        <v>0</v>
      </c>
      <c r="N31">
        <v>0</v>
      </c>
      <c r="O31">
        <v>3</v>
      </c>
      <c r="P31">
        <v>50</v>
      </c>
      <c r="Q31">
        <v>0</v>
      </c>
      <c r="R31">
        <f>SUM(Table10[[#This Row],[FOUR WHEELER (INVALID CARRIAGE)]:[TWO WHEELER(T)]])</f>
        <v>75</v>
      </c>
    </row>
    <row r="32" spans="1:18" x14ac:dyDescent="0.3">
      <c r="A32" s="1">
        <v>38749</v>
      </c>
      <c r="B32">
        <v>0</v>
      </c>
      <c r="C32">
        <v>0</v>
      </c>
      <c r="D32">
        <v>0</v>
      </c>
      <c r="E32">
        <v>0</v>
      </c>
      <c r="F32">
        <v>7</v>
      </c>
      <c r="G32">
        <v>28</v>
      </c>
      <c r="H32">
        <v>0</v>
      </c>
      <c r="I32">
        <v>0</v>
      </c>
      <c r="J32">
        <v>0</v>
      </c>
      <c r="K32">
        <v>0</v>
      </c>
      <c r="L32">
        <v>0</v>
      </c>
      <c r="M32">
        <v>0</v>
      </c>
      <c r="N32">
        <v>0</v>
      </c>
      <c r="O32">
        <v>2</v>
      </c>
      <c r="P32">
        <v>65</v>
      </c>
      <c r="Q32">
        <v>0</v>
      </c>
      <c r="R32">
        <f>SUM(Table10[[#This Row],[FOUR WHEELER (INVALID CARRIAGE)]:[TWO WHEELER(T)]])</f>
        <v>102</v>
      </c>
    </row>
    <row r="33" spans="1:18" x14ac:dyDescent="0.3">
      <c r="A33" s="1">
        <v>39114</v>
      </c>
      <c r="B33">
        <v>0</v>
      </c>
      <c r="C33">
        <v>0</v>
      </c>
      <c r="D33">
        <v>4</v>
      </c>
      <c r="E33">
        <v>0</v>
      </c>
      <c r="F33">
        <v>4</v>
      </c>
      <c r="G33">
        <v>38</v>
      </c>
      <c r="H33">
        <v>1</v>
      </c>
      <c r="I33">
        <v>1</v>
      </c>
      <c r="J33">
        <v>0</v>
      </c>
      <c r="K33">
        <v>0</v>
      </c>
      <c r="L33">
        <v>1</v>
      </c>
      <c r="M33">
        <v>0</v>
      </c>
      <c r="N33">
        <v>0</v>
      </c>
      <c r="O33">
        <v>7</v>
      </c>
      <c r="P33">
        <v>117</v>
      </c>
      <c r="Q33">
        <v>0</v>
      </c>
      <c r="R33">
        <f>SUM(Table10[[#This Row],[FOUR WHEELER (INVALID CARRIAGE)]:[TWO WHEELER(T)]])</f>
        <v>173</v>
      </c>
    </row>
    <row r="34" spans="1:18" x14ac:dyDescent="0.3">
      <c r="A34" s="1">
        <v>39479</v>
      </c>
      <c r="B34">
        <v>0</v>
      </c>
      <c r="C34">
        <v>0</v>
      </c>
      <c r="D34">
        <v>0</v>
      </c>
      <c r="E34">
        <v>0</v>
      </c>
      <c r="F34">
        <v>7</v>
      </c>
      <c r="G34">
        <v>83</v>
      </c>
      <c r="H34">
        <v>1</v>
      </c>
      <c r="I34">
        <v>0</v>
      </c>
      <c r="J34">
        <v>0</v>
      </c>
      <c r="K34">
        <v>0</v>
      </c>
      <c r="L34">
        <v>2</v>
      </c>
      <c r="M34">
        <v>0</v>
      </c>
      <c r="N34">
        <v>0</v>
      </c>
      <c r="O34">
        <v>1</v>
      </c>
      <c r="P34">
        <v>671</v>
      </c>
      <c r="Q34">
        <v>0</v>
      </c>
      <c r="R34">
        <f>SUM(Table10[[#This Row],[FOUR WHEELER (INVALID CARRIAGE)]:[TWO WHEELER(T)]])</f>
        <v>765</v>
      </c>
    </row>
    <row r="35" spans="1:18" x14ac:dyDescent="0.3">
      <c r="A35" s="1">
        <v>39845</v>
      </c>
      <c r="B35">
        <v>0</v>
      </c>
      <c r="C35">
        <v>0</v>
      </c>
      <c r="D35">
        <v>1</v>
      </c>
      <c r="E35">
        <v>0</v>
      </c>
      <c r="F35">
        <v>4</v>
      </c>
      <c r="G35">
        <v>43</v>
      </c>
      <c r="H35">
        <v>0</v>
      </c>
      <c r="I35">
        <v>0</v>
      </c>
      <c r="J35">
        <v>0</v>
      </c>
      <c r="K35">
        <v>0</v>
      </c>
      <c r="L35">
        <v>1</v>
      </c>
      <c r="M35">
        <v>0</v>
      </c>
      <c r="N35">
        <v>0</v>
      </c>
      <c r="O35">
        <v>5</v>
      </c>
      <c r="P35">
        <v>831</v>
      </c>
      <c r="Q35">
        <v>0</v>
      </c>
      <c r="R35">
        <f>SUM(Table10[[#This Row],[FOUR WHEELER (INVALID CARRIAGE)]:[TWO WHEELER(T)]])</f>
        <v>885</v>
      </c>
    </row>
    <row r="36" spans="1:18" x14ac:dyDescent="0.3">
      <c r="A36" s="1">
        <v>40210</v>
      </c>
      <c r="B36">
        <v>0</v>
      </c>
      <c r="C36">
        <v>2</v>
      </c>
      <c r="D36">
        <v>0</v>
      </c>
      <c r="E36">
        <v>0</v>
      </c>
      <c r="F36">
        <v>1</v>
      </c>
      <c r="G36">
        <v>16</v>
      </c>
      <c r="H36">
        <v>2</v>
      </c>
      <c r="I36">
        <v>0</v>
      </c>
      <c r="J36">
        <v>0</v>
      </c>
      <c r="K36">
        <v>0</v>
      </c>
      <c r="L36">
        <v>0</v>
      </c>
      <c r="M36">
        <v>1</v>
      </c>
      <c r="N36">
        <v>0</v>
      </c>
      <c r="O36">
        <v>10</v>
      </c>
      <c r="P36">
        <v>342</v>
      </c>
      <c r="Q36">
        <v>0</v>
      </c>
      <c r="R36">
        <f>SUM(Table10[[#This Row],[FOUR WHEELER (INVALID CARRIAGE)]:[TWO WHEELER(T)]])</f>
        <v>374</v>
      </c>
    </row>
    <row r="37" spans="1:18" x14ac:dyDescent="0.3">
      <c r="A37" s="1">
        <v>40575</v>
      </c>
      <c r="B37">
        <v>0</v>
      </c>
      <c r="C37">
        <v>2</v>
      </c>
      <c r="D37">
        <v>3</v>
      </c>
      <c r="E37">
        <v>0</v>
      </c>
      <c r="F37">
        <v>44</v>
      </c>
      <c r="G37">
        <v>164</v>
      </c>
      <c r="H37">
        <v>5</v>
      </c>
      <c r="I37">
        <v>0</v>
      </c>
      <c r="J37">
        <v>0</v>
      </c>
      <c r="K37">
        <v>0</v>
      </c>
      <c r="L37">
        <v>3</v>
      </c>
      <c r="M37">
        <v>0</v>
      </c>
      <c r="N37">
        <v>1</v>
      </c>
      <c r="O37">
        <v>6</v>
      </c>
      <c r="P37">
        <v>889</v>
      </c>
      <c r="Q37">
        <v>0</v>
      </c>
      <c r="R37">
        <f>SUM(Table10[[#This Row],[FOUR WHEELER (INVALID CARRIAGE)]:[TWO WHEELER(T)]])</f>
        <v>1117</v>
      </c>
    </row>
    <row r="38" spans="1:18" x14ac:dyDescent="0.3">
      <c r="A38" s="1">
        <v>40940</v>
      </c>
      <c r="B38">
        <v>0</v>
      </c>
      <c r="C38">
        <v>2</v>
      </c>
      <c r="D38">
        <v>1</v>
      </c>
      <c r="E38">
        <v>0</v>
      </c>
      <c r="F38">
        <v>8</v>
      </c>
      <c r="G38">
        <v>67</v>
      </c>
      <c r="H38">
        <v>1</v>
      </c>
      <c r="I38">
        <v>0</v>
      </c>
      <c r="J38">
        <v>0</v>
      </c>
      <c r="K38">
        <v>0</v>
      </c>
      <c r="L38">
        <v>2</v>
      </c>
      <c r="M38">
        <v>0</v>
      </c>
      <c r="N38">
        <v>0</v>
      </c>
      <c r="O38">
        <v>5</v>
      </c>
      <c r="P38">
        <v>635</v>
      </c>
      <c r="Q38">
        <v>0</v>
      </c>
      <c r="R38">
        <f>SUM(Table10[[#This Row],[FOUR WHEELER (INVALID CARRIAGE)]:[TWO WHEELER(T)]])</f>
        <v>721</v>
      </c>
    </row>
    <row r="39" spans="1:18" x14ac:dyDescent="0.3">
      <c r="A39" s="1">
        <v>41306</v>
      </c>
      <c r="B39">
        <v>0</v>
      </c>
      <c r="C39">
        <v>0</v>
      </c>
      <c r="D39">
        <v>0</v>
      </c>
      <c r="E39">
        <v>0</v>
      </c>
      <c r="F39">
        <v>9</v>
      </c>
      <c r="G39">
        <v>21</v>
      </c>
      <c r="H39">
        <v>1</v>
      </c>
      <c r="I39">
        <v>0</v>
      </c>
      <c r="J39">
        <v>0</v>
      </c>
      <c r="K39">
        <v>0</v>
      </c>
      <c r="L39">
        <v>0</v>
      </c>
      <c r="M39">
        <v>0</v>
      </c>
      <c r="N39">
        <v>0</v>
      </c>
      <c r="O39">
        <v>4</v>
      </c>
      <c r="P39">
        <v>201</v>
      </c>
      <c r="Q39">
        <v>0</v>
      </c>
      <c r="R39">
        <f>SUM(Table10[[#This Row],[FOUR WHEELER (INVALID CARRIAGE)]:[TWO WHEELER(T)]])</f>
        <v>236</v>
      </c>
    </row>
    <row r="40" spans="1:18" x14ac:dyDescent="0.3">
      <c r="A40" s="1">
        <v>41671</v>
      </c>
      <c r="B40">
        <v>0</v>
      </c>
      <c r="C40">
        <v>3</v>
      </c>
      <c r="D40">
        <v>0</v>
      </c>
      <c r="E40">
        <v>1</v>
      </c>
      <c r="F40">
        <v>11</v>
      </c>
      <c r="G40">
        <v>28</v>
      </c>
      <c r="H40">
        <v>0</v>
      </c>
      <c r="I40">
        <v>0</v>
      </c>
      <c r="J40">
        <v>0</v>
      </c>
      <c r="K40">
        <v>0</v>
      </c>
      <c r="L40">
        <v>0</v>
      </c>
      <c r="M40">
        <v>0</v>
      </c>
      <c r="N40">
        <v>0</v>
      </c>
      <c r="O40">
        <v>0</v>
      </c>
      <c r="P40">
        <v>130</v>
      </c>
      <c r="Q40">
        <v>0</v>
      </c>
      <c r="R40">
        <f>SUM(Table10[[#This Row],[FOUR WHEELER (INVALID CARRIAGE)]:[TWO WHEELER(T)]])</f>
        <v>173</v>
      </c>
    </row>
    <row r="41" spans="1:18" x14ac:dyDescent="0.3">
      <c r="A41" s="1">
        <v>42036</v>
      </c>
      <c r="B41">
        <v>0</v>
      </c>
      <c r="C41">
        <v>2</v>
      </c>
      <c r="D41">
        <v>0</v>
      </c>
      <c r="E41">
        <v>0</v>
      </c>
      <c r="F41">
        <v>5</v>
      </c>
      <c r="G41">
        <v>62</v>
      </c>
      <c r="H41">
        <v>1</v>
      </c>
      <c r="I41">
        <v>0</v>
      </c>
      <c r="J41">
        <v>0</v>
      </c>
      <c r="K41">
        <v>0</v>
      </c>
      <c r="L41">
        <v>1</v>
      </c>
      <c r="M41">
        <v>0</v>
      </c>
      <c r="N41">
        <v>0</v>
      </c>
      <c r="O41">
        <v>3</v>
      </c>
      <c r="P41">
        <v>109</v>
      </c>
      <c r="Q41">
        <v>0</v>
      </c>
      <c r="R41">
        <f>SUM(Table10[[#This Row],[FOUR WHEELER (INVALID CARRIAGE)]:[TWO WHEELER(T)]])</f>
        <v>183</v>
      </c>
    </row>
    <row r="42" spans="1:18" x14ac:dyDescent="0.3">
      <c r="A42" s="1">
        <v>42401</v>
      </c>
      <c r="B42">
        <v>1</v>
      </c>
      <c r="C42">
        <v>1</v>
      </c>
      <c r="D42">
        <v>0</v>
      </c>
      <c r="E42">
        <v>0</v>
      </c>
      <c r="F42">
        <v>14</v>
      </c>
      <c r="G42">
        <v>61</v>
      </c>
      <c r="H42">
        <v>1</v>
      </c>
      <c r="I42">
        <v>0</v>
      </c>
      <c r="J42">
        <v>0</v>
      </c>
      <c r="K42">
        <v>0</v>
      </c>
      <c r="L42">
        <v>15</v>
      </c>
      <c r="M42">
        <v>0</v>
      </c>
      <c r="N42">
        <v>0</v>
      </c>
      <c r="O42">
        <v>2287</v>
      </c>
      <c r="P42">
        <v>119</v>
      </c>
      <c r="Q42">
        <v>0</v>
      </c>
      <c r="R42">
        <f>SUM(Table10[[#This Row],[FOUR WHEELER (INVALID CARRIAGE)]:[TWO WHEELER(T)]])</f>
        <v>2499</v>
      </c>
    </row>
    <row r="43" spans="1:18" x14ac:dyDescent="0.3">
      <c r="A43" s="1">
        <v>42767</v>
      </c>
      <c r="B43">
        <v>0</v>
      </c>
      <c r="C43">
        <v>0</v>
      </c>
      <c r="D43">
        <v>0</v>
      </c>
      <c r="E43">
        <v>0</v>
      </c>
      <c r="F43">
        <v>37</v>
      </c>
      <c r="G43">
        <v>54</v>
      </c>
      <c r="H43">
        <v>21</v>
      </c>
      <c r="I43">
        <v>0</v>
      </c>
      <c r="J43">
        <v>0</v>
      </c>
      <c r="K43">
        <v>0</v>
      </c>
      <c r="L43">
        <v>18</v>
      </c>
      <c r="M43">
        <v>0</v>
      </c>
      <c r="N43">
        <v>0</v>
      </c>
      <c r="O43">
        <v>4203</v>
      </c>
      <c r="P43">
        <v>75</v>
      </c>
      <c r="Q43">
        <v>0</v>
      </c>
      <c r="R43">
        <f>SUM(Table10[[#This Row],[FOUR WHEELER (INVALID CARRIAGE)]:[TWO WHEELER(T)]])</f>
        <v>4408</v>
      </c>
    </row>
    <row r="44" spans="1:18" x14ac:dyDescent="0.3">
      <c r="A44" s="1">
        <v>43132</v>
      </c>
      <c r="B44">
        <v>0</v>
      </c>
      <c r="C44">
        <v>0</v>
      </c>
      <c r="D44">
        <v>0</v>
      </c>
      <c r="E44">
        <v>11</v>
      </c>
      <c r="F44">
        <v>69</v>
      </c>
      <c r="G44">
        <v>117</v>
      </c>
      <c r="H44">
        <v>73</v>
      </c>
      <c r="I44">
        <v>0</v>
      </c>
      <c r="J44">
        <v>0</v>
      </c>
      <c r="K44">
        <v>0</v>
      </c>
      <c r="L44">
        <v>42</v>
      </c>
      <c r="M44">
        <v>2</v>
      </c>
      <c r="N44">
        <v>0</v>
      </c>
      <c r="O44">
        <v>6902</v>
      </c>
      <c r="P44">
        <v>156</v>
      </c>
      <c r="Q44">
        <v>0</v>
      </c>
      <c r="R44">
        <f>SUM(Table10[[#This Row],[FOUR WHEELER (INVALID CARRIAGE)]:[TWO WHEELER(T)]])</f>
        <v>7372</v>
      </c>
    </row>
    <row r="45" spans="1:18" x14ac:dyDescent="0.3">
      <c r="A45" s="1">
        <v>43497</v>
      </c>
      <c r="B45">
        <v>0</v>
      </c>
      <c r="C45">
        <v>0</v>
      </c>
      <c r="D45">
        <v>0</v>
      </c>
      <c r="E45">
        <v>25</v>
      </c>
      <c r="F45">
        <v>2</v>
      </c>
      <c r="G45">
        <v>157</v>
      </c>
      <c r="H45">
        <v>71</v>
      </c>
      <c r="I45">
        <v>0</v>
      </c>
      <c r="J45">
        <v>18</v>
      </c>
      <c r="K45">
        <v>0</v>
      </c>
      <c r="L45">
        <v>47</v>
      </c>
      <c r="M45">
        <v>2</v>
      </c>
      <c r="N45">
        <v>1</v>
      </c>
      <c r="O45">
        <v>8784</v>
      </c>
      <c r="P45">
        <v>3029</v>
      </c>
      <c r="Q45">
        <v>95</v>
      </c>
      <c r="R45">
        <f>SUM(Table10[[#This Row],[FOUR WHEELER (INVALID CARRIAGE)]:[TWO WHEELER(T)]])</f>
        <v>12231</v>
      </c>
    </row>
    <row r="46" spans="1:18" x14ac:dyDescent="0.3">
      <c r="A46" s="1">
        <v>43862</v>
      </c>
      <c r="B46">
        <v>0</v>
      </c>
      <c r="C46">
        <v>0</v>
      </c>
      <c r="D46">
        <v>0</v>
      </c>
      <c r="E46">
        <v>19</v>
      </c>
      <c r="F46">
        <v>2</v>
      </c>
      <c r="G46">
        <v>105</v>
      </c>
      <c r="H46">
        <v>387</v>
      </c>
      <c r="I46">
        <v>0</v>
      </c>
      <c r="J46">
        <v>0</v>
      </c>
      <c r="K46">
        <v>0</v>
      </c>
      <c r="L46">
        <v>79</v>
      </c>
      <c r="M46">
        <v>16</v>
      </c>
      <c r="N46">
        <v>0</v>
      </c>
      <c r="O46">
        <v>13610</v>
      </c>
      <c r="P46">
        <v>2164</v>
      </c>
      <c r="Q46">
        <v>190</v>
      </c>
      <c r="R46">
        <f>SUM(Table10[[#This Row],[FOUR WHEELER (INVALID CARRIAGE)]:[TWO WHEELER(T)]])</f>
        <v>16572</v>
      </c>
    </row>
    <row r="47" spans="1:18" x14ac:dyDescent="0.3">
      <c r="A47" s="1">
        <v>44228</v>
      </c>
      <c r="B47">
        <v>0</v>
      </c>
      <c r="C47">
        <v>0</v>
      </c>
      <c r="D47">
        <v>0</v>
      </c>
      <c r="E47">
        <v>133</v>
      </c>
      <c r="F47">
        <v>8</v>
      </c>
      <c r="G47">
        <v>586</v>
      </c>
      <c r="H47">
        <v>31</v>
      </c>
      <c r="I47">
        <v>0</v>
      </c>
      <c r="J47">
        <v>53</v>
      </c>
      <c r="K47">
        <v>0</v>
      </c>
      <c r="L47">
        <v>113</v>
      </c>
      <c r="M47">
        <v>24</v>
      </c>
      <c r="N47">
        <v>0</v>
      </c>
      <c r="O47">
        <v>12535</v>
      </c>
      <c r="P47">
        <v>6449</v>
      </c>
      <c r="Q47">
        <v>135</v>
      </c>
      <c r="R47">
        <f>SUM(Table10[[#This Row],[FOUR WHEELER (INVALID CARRIAGE)]:[TWO WHEELER(T)]])</f>
        <v>20067</v>
      </c>
    </row>
    <row r="48" spans="1:18" x14ac:dyDescent="0.3">
      <c r="A48" s="1">
        <v>44593</v>
      </c>
      <c r="B48">
        <v>1</v>
      </c>
      <c r="C48">
        <v>0</v>
      </c>
      <c r="D48">
        <v>0</v>
      </c>
      <c r="E48">
        <v>133</v>
      </c>
      <c r="F48">
        <v>15</v>
      </c>
      <c r="G48">
        <v>2308</v>
      </c>
      <c r="H48">
        <v>144</v>
      </c>
      <c r="I48">
        <v>0</v>
      </c>
      <c r="J48">
        <v>0</v>
      </c>
      <c r="K48">
        <v>0</v>
      </c>
      <c r="L48">
        <v>95</v>
      </c>
      <c r="M48">
        <v>26</v>
      </c>
      <c r="N48">
        <v>0</v>
      </c>
      <c r="O48">
        <v>19608</v>
      </c>
      <c r="P48">
        <v>35132</v>
      </c>
      <c r="Q48">
        <v>635</v>
      </c>
      <c r="R48">
        <f>SUM(Table10[[#This Row],[FOUR WHEELER (INVALID CARRIAGE)]:[TWO WHEELER(T)]])</f>
        <v>58097</v>
      </c>
    </row>
    <row r="49" spans="1:18" x14ac:dyDescent="0.3">
      <c r="A49" s="1">
        <v>44958</v>
      </c>
      <c r="B49">
        <v>1</v>
      </c>
      <c r="C49">
        <v>0</v>
      </c>
      <c r="D49">
        <v>0</v>
      </c>
      <c r="E49">
        <v>111</v>
      </c>
      <c r="F49">
        <v>81</v>
      </c>
      <c r="G49">
        <v>4366</v>
      </c>
      <c r="H49">
        <v>395</v>
      </c>
      <c r="I49">
        <v>0</v>
      </c>
      <c r="J49">
        <v>11</v>
      </c>
      <c r="K49">
        <v>0</v>
      </c>
      <c r="L49">
        <v>76</v>
      </c>
      <c r="M49">
        <v>32</v>
      </c>
      <c r="N49">
        <v>4</v>
      </c>
      <c r="O49">
        <v>36053</v>
      </c>
      <c r="P49">
        <v>65950</v>
      </c>
      <c r="Q49">
        <v>142</v>
      </c>
      <c r="R49">
        <f>SUM(Table10[[#This Row],[FOUR WHEELER (INVALID CARRIAGE)]:[TWO WHEELER(T)]])</f>
        <v>107222</v>
      </c>
    </row>
    <row r="50" spans="1:18" x14ac:dyDescent="0.3">
      <c r="A50" s="1">
        <v>45323</v>
      </c>
      <c r="B50">
        <v>3</v>
      </c>
      <c r="C50">
        <v>28</v>
      </c>
      <c r="D50">
        <v>0</v>
      </c>
      <c r="E50">
        <v>341</v>
      </c>
      <c r="F50">
        <v>489</v>
      </c>
      <c r="G50">
        <v>6845</v>
      </c>
      <c r="H50">
        <v>668</v>
      </c>
      <c r="I50">
        <v>0</v>
      </c>
      <c r="J50">
        <v>4</v>
      </c>
      <c r="K50">
        <v>0</v>
      </c>
      <c r="L50">
        <v>0</v>
      </c>
      <c r="M50">
        <v>13</v>
      </c>
      <c r="N50">
        <v>0</v>
      </c>
      <c r="O50">
        <v>50622</v>
      </c>
      <c r="P50">
        <v>82576</v>
      </c>
      <c r="Q50">
        <v>151</v>
      </c>
      <c r="R50">
        <f>SUM(Table10[[#This Row],[FOUR WHEELER (INVALID CARRIAGE)]:[TWO WHEELER(T)]])</f>
        <v>141740</v>
      </c>
    </row>
    <row r="51" spans="1:18" x14ac:dyDescent="0.3">
      <c r="A51" s="1">
        <v>36951</v>
      </c>
      <c r="B51">
        <v>0</v>
      </c>
      <c r="C51">
        <v>0</v>
      </c>
      <c r="D51">
        <v>2</v>
      </c>
      <c r="E51">
        <v>0</v>
      </c>
      <c r="F51">
        <v>6</v>
      </c>
      <c r="G51">
        <v>26</v>
      </c>
      <c r="H51">
        <v>0</v>
      </c>
      <c r="I51">
        <v>1</v>
      </c>
      <c r="J51">
        <v>0</v>
      </c>
      <c r="K51">
        <v>0</v>
      </c>
      <c r="L51">
        <v>2</v>
      </c>
      <c r="M51">
        <v>1</v>
      </c>
      <c r="N51">
        <v>0</v>
      </c>
      <c r="O51">
        <v>1</v>
      </c>
      <c r="P51">
        <v>75</v>
      </c>
      <c r="Q51">
        <v>0</v>
      </c>
      <c r="R51">
        <f>SUM(Table10[[#This Row],[FOUR WHEELER (INVALID CARRIAGE)]:[TWO WHEELER(T)]])</f>
        <v>114</v>
      </c>
    </row>
    <row r="52" spans="1:18" x14ac:dyDescent="0.3">
      <c r="A52" s="1">
        <v>37316</v>
      </c>
      <c r="B52">
        <v>0</v>
      </c>
      <c r="C52">
        <v>1</v>
      </c>
      <c r="D52">
        <v>0</v>
      </c>
      <c r="E52">
        <v>0</v>
      </c>
      <c r="F52">
        <v>881</v>
      </c>
      <c r="G52">
        <v>23</v>
      </c>
      <c r="H52">
        <v>8</v>
      </c>
      <c r="I52">
        <v>1</v>
      </c>
      <c r="J52">
        <v>0</v>
      </c>
      <c r="K52">
        <v>0</v>
      </c>
      <c r="L52">
        <v>0</v>
      </c>
      <c r="M52">
        <v>0</v>
      </c>
      <c r="N52">
        <v>0</v>
      </c>
      <c r="O52">
        <v>1</v>
      </c>
      <c r="P52">
        <v>6</v>
      </c>
      <c r="Q52">
        <v>0</v>
      </c>
      <c r="R52">
        <f>SUM(Table10[[#This Row],[FOUR WHEELER (INVALID CARRIAGE)]:[TWO WHEELER(T)]])</f>
        <v>921</v>
      </c>
    </row>
    <row r="53" spans="1:18" x14ac:dyDescent="0.3">
      <c r="A53" s="1">
        <v>37681</v>
      </c>
      <c r="B53">
        <v>0</v>
      </c>
      <c r="C53">
        <v>0</v>
      </c>
      <c r="D53">
        <v>2</v>
      </c>
      <c r="E53">
        <v>0</v>
      </c>
      <c r="F53">
        <v>85</v>
      </c>
      <c r="G53">
        <v>42</v>
      </c>
      <c r="H53">
        <v>0</v>
      </c>
      <c r="I53">
        <v>0</v>
      </c>
      <c r="J53">
        <v>0</v>
      </c>
      <c r="K53">
        <v>0</v>
      </c>
      <c r="L53">
        <v>1</v>
      </c>
      <c r="M53">
        <v>0</v>
      </c>
      <c r="N53">
        <v>0</v>
      </c>
      <c r="O53">
        <v>1</v>
      </c>
      <c r="P53">
        <v>17</v>
      </c>
      <c r="Q53">
        <v>0</v>
      </c>
      <c r="R53">
        <f>SUM(Table10[[#This Row],[FOUR WHEELER (INVALID CARRIAGE)]:[TWO WHEELER(T)]])</f>
        <v>148</v>
      </c>
    </row>
    <row r="54" spans="1:18" x14ac:dyDescent="0.3">
      <c r="A54" s="1">
        <v>38047</v>
      </c>
      <c r="B54">
        <v>0</v>
      </c>
      <c r="C54">
        <v>0</v>
      </c>
      <c r="D54">
        <v>0</v>
      </c>
      <c r="E54">
        <v>0</v>
      </c>
      <c r="F54">
        <v>11</v>
      </c>
      <c r="G54">
        <v>20</v>
      </c>
      <c r="H54">
        <v>1</v>
      </c>
      <c r="I54">
        <v>0</v>
      </c>
      <c r="J54">
        <v>0</v>
      </c>
      <c r="K54">
        <v>0</v>
      </c>
      <c r="L54">
        <v>0</v>
      </c>
      <c r="M54">
        <v>0</v>
      </c>
      <c r="N54">
        <v>0</v>
      </c>
      <c r="O54">
        <v>6</v>
      </c>
      <c r="P54">
        <v>21</v>
      </c>
      <c r="Q54">
        <v>0</v>
      </c>
      <c r="R54">
        <f>SUM(Table10[[#This Row],[FOUR WHEELER (INVALID CARRIAGE)]:[TWO WHEELER(T)]])</f>
        <v>59</v>
      </c>
    </row>
    <row r="55" spans="1:18" x14ac:dyDescent="0.3">
      <c r="A55" s="1">
        <v>38412</v>
      </c>
      <c r="B55">
        <v>0</v>
      </c>
      <c r="C55">
        <v>1</v>
      </c>
      <c r="D55">
        <v>0</v>
      </c>
      <c r="E55">
        <v>0</v>
      </c>
      <c r="F55">
        <v>13</v>
      </c>
      <c r="G55">
        <v>16</v>
      </c>
      <c r="H55">
        <v>2</v>
      </c>
      <c r="I55">
        <v>0</v>
      </c>
      <c r="J55">
        <v>0</v>
      </c>
      <c r="K55">
        <v>0</v>
      </c>
      <c r="L55">
        <v>1</v>
      </c>
      <c r="M55">
        <v>0</v>
      </c>
      <c r="N55">
        <v>0</v>
      </c>
      <c r="O55">
        <v>2</v>
      </c>
      <c r="P55">
        <v>54</v>
      </c>
      <c r="Q55">
        <v>0</v>
      </c>
      <c r="R55">
        <f>SUM(Table10[[#This Row],[FOUR WHEELER (INVALID CARRIAGE)]:[TWO WHEELER(T)]])</f>
        <v>89</v>
      </c>
    </row>
    <row r="56" spans="1:18" x14ac:dyDescent="0.3">
      <c r="A56" s="1">
        <v>38777</v>
      </c>
      <c r="B56">
        <v>0</v>
      </c>
      <c r="C56">
        <v>0</v>
      </c>
      <c r="D56">
        <v>2</v>
      </c>
      <c r="E56">
        <v>0</v>
      </c>
      <c r="F56">
        <v>6</v>
      </c>
      <c r="G56">
        <v>26</v>
      </c>
      <c r="H56">
        <v>0</v>
      </c>
      <c r="I56">
        <v>1</v>
      </c>
      <c r="J56">
        <v>0</v>
      </c>
      <c r="K56">
        <v>0</v>
      </c>
      <c r="L56">
        <v>2</v>
      </c>
      <c r="M56">
        <v>1</v>
      </c>
      <c r="N56">
        <v>0</v>
      </c>
      <c r="O56">
        <v>1</v>
      </c>
      <c r="P56">
        <v>75</v>
      </c>
      <c r="Q56">
        <v>0</v>
      </c>
      <c r="R56">
        <f>SUM(Table10[[#This Row],[FOUR WHEELER (INVALID CARRIAGE)]:[TWO WHEELER(T)]])</f>
        <v>114</v>
      </c>
    </row>
    <row r="57" spans="1:18" x14ac:dyDescent="0.3">
      <c r="A57" s="1">
        <v>39142</v>
      </c>
      <c r="B57">
        <v>0</v>
      </c>
      <c r="C57">
        <v>0</v>
      </c>
      <c r="D57">
        <v>3</v>
      </c>
      <c r="E57">
        <v>1</v>
      </c>
      <c r="F57">
        <v>6</v>
      </c>
      <c r="G57">
        <v>46</v>
      </c>
      <c r="H57">
        <v>6</v>
      </c>
      <c r="I57">
        <v>0</v>
      </c>
      <c r="J57">
        <v>0</v>
      </c>
      <c r="K57">
        <v>0</v>
      </c>
      <c r="L57">
        <v>0</v>
      </c>
      <c r="M57">
        <v>0</v>
      </c>
      <c r="N57">
        <v>0</v>
      </c>
      <c r="O57">
        <v>3</v>
      </c>
      <c r="P57">
        <v>166</v>
      </c>
      <c r="Q57">
        <v>0</v>
      </c>
      <c r="R57">
        <f>SUM(Table10[[#This Row],[FOUR WHEELER (INVALID CARRIAGE)]:[TWO WHEELER(T)]])</f>
        <v>231</v>
      </c>
    </row>
    <row r="58" spans="1:18" x14ac:dyDescent="0.3">
      <c r="A58" s="1">
        <v>39508</v>
      </c>
      <c r="B58">
        <v>0</v>
      </c>
      <c r="C58">
        <v>4</v>
      </c>
      <c r="D58">
        <v>1</v>
      </c>
      <c r="E58">
        <v>2</v>
      </c>
      <c r="F58">
        <v>3</v>
      </c>
      <c r="G58">
        <v>33</v>
      </c>
      <c r="H58">
        <v>2</v>
      </c>
      <c r="I58">
        <v>2</v>
      </c>
      <c r="J58">
        <v>0</v>
      </c>
      <c r="K58">
        <v>0</v>
      </c>
      <c r="L58">
        <v>1</v>
      </c>
      <c r="M58">
        <v>0</v>
      </c>
      <c r="N58">
        <v>0</v>
      </c>
      <c r="O58">
        <v>3</v>
      </c>
      <c r="P58">
        <v>605</v>
      </c>
      <c r="Q58">
        <v>0</v>
      </c>
      <c r="R58">
        <f>SUM(Table10[[#This Row],[FOUR WHEELER (INVALID CARRIAGE)]:[TWO WHEELER(T)]])</f>
        <v>656</v>
      </c>
    </row>
    <row r="59" spans="1:18" x14ac:dyDescent="0.3">
      <c r="A59" s="1">
        <v>39873</v>
      </c>
      <c r="B59">
        <v>0</v>
      </c>
      <c r="C59">
        <v>0</v>
      </c>
      <c r="D59">
        <v>1</v>
      </c>
      <c r="E59">
        <v>0</v>
      </c>
      <c r="F59">
        <v>5</v>
      </c>
      <c r="G59">
        <v>48</v>
      </c>
      <c r="H59">
        <v>0</v>
      </c>
      <c r="I59">
        <v>1</v>
      </c>
      <c r="J59">
        <v>0</v>
      </c>
      <c r="K59">
        <v>1</v>
      </c>
      <c r="L59">
        <v>0</v>
      </c>
      <c r="M59">
        <v>1</v>
      </c>
      <c r="N59">
        <v>0</v>
      </c>
      <c r="O59">
        <v>3</v>
      </c>
      <c r="P59">
        <v>660</v>
      </c>
      <c r="Q59">
        <v>0</v>
      </c>
      <c r="R59">
        <f>SUM(Table10[[#This Row],[FOUR WHEELER (INVALID CARRIAGE)]:[TWO WHEELER(T)]])</f>
        <v>720</v>
      </c>
    </row>
    <row r="60" spans="1:18" x14ac:dyDescent="0.3">
      <c r="A60" s="1">
        <v>40238</v>
      </c>
      <c r="B60">
        <v>0</v>
      </c>
      <c r="C60">
        <v>3</v>
      </c>
      <c r="D60">
        <v>0</v>
      </c>
      <c r="E60">
        <v>0</v>
      </c>
      <c r="F60">
        <v>7</v>
      </c>
      <c r="G60">
        <v>32</v>
      </c>
      <c r="H60">
        <v>1</v>
      </c>
      <c r="I60">
        <v>0</v>
      </c>
      <c r="J60">
        <v>0</v>
      </c>
      <c r="K60">
        <v>0</v>
      </c>
      <c r="L60">
        <v>0</v>
      </c>
      <c r="M60">
        <v>0</v>
      </c>
      <c r="N60">
        <v>0</v>
      </c>
      <c r="O60">
        <v>1</v>
      </c>
      <c r="P60">
        <v>398</v>
      </c>
      <c r="Q60">
        <v>0</v>
      </c>
      <c r="R60">
        <f>SUM(Table10[[#This Row],[FOUR WHEELER (INVALID CARRIAGE)]:[TWO WHEELER(T)]])</f>
        <v>442</v>
      </c>
    </row>
    <row r="61" spans="1:18" x14ac:dyDescent="0.3">
      <c r="A61" s="1">
        <v>40603</v>
      </c>
      <c r="B61">
        <v>0</v>
      </c>
      <c r="C61">
        <v>1</v>
      </c>
      <c r="D61">
        <v>0</v>
      </c>
      <c r="E61">
        <v>0</v>
      </c>
      <c r="F61">
        <v>44</v>
      </c>
      <c r="G61">
        <v>76</v>
      </c>
      <c r="H61">
        <v>5</v>
      </c>
      <c r="I61">
        <v>0</v>
      </c>
      <c r="J61">
        <v>0</v>
      </c>
      <c r="K61">
        <v>0</v>
      </c>
      <c r="L61">
        <v>2</v>
      </c>
      <c r="M61">
        <v>0</v>
      </c>
      <c r="N61">
        <v>0</v>
      </c>
      <c r="O61">
        <v>4</v>
      </c>
      <c r="P61">
        <v>373</v>
      </c>
      <c r="Q61">
        <v>0</v>
      </c>
      <c r="R61">
        <f>SUM(Table10[[#This Row],[FOUR WHEELER (INVALID CARRIAGE)]:[TWO WHEELER(T)]])</f>
        <v>505</v>
      </c>
    </row>
    <row r="62" spans="1:18" x14ac:dyDescent="0.3">
      <c r="A62" s="1">
        <v>40969</v>
      </c>
      <c r="B62">
        <v>0</v>
      </c>
      <c r="C62">
        <v>7</v>
      </c>
      <c r="D62">
        <v>0</v>
      </c>
      <c r="E62">
        <v>0</v>
      </c>
      <c r="F62">
        <v>7</v>
      </c>
      <c r="G62">
        <v>111</v>
      </c>
      <c r="H62">
        <v>7</v>
      </c>
      <c r="I62">
        <v>0</v>
      </c>
      <c r="J62">
        <v>0</v>
      </c>
      <c r="K62">
        <v>0</v>
      </c>
      <c r="L62">
        <v>1</v>
      </c>
      <c r="M62">
        <v>1</v>
      </c>
      <c r="N62">
        <v>0</v>
      </c>
      <c r="O62">
        <v>1</v>
      </c>
      <c r="P62">
        <v>627</v>
      </c>
      <c r="Q62">
        <v>0</v>
      </c>
      <c r="R62">
        <f>SUM(Table10[[#This Row],[FOUR WHEELER (INVALID CARRIAGE)]:[TWO WHEELER(T)]])</f>
        <v>762</v>
      </c>
    </row>
    <row r="63" spans="1:18" x14ac:dyDescent="0.3">
      <c r="A63" s="1">
        <v>41334</v>
      </c>
      <c r="B63">
        <v>0</v>
      </c>
      <c r="C63">
        <v>0</v>
      </c>
      <c r="D63">
        <v>1</v>
      </c>
      <c r="E63">
        <v>0</v>
      </c>
      <c r="F63">
        <v>12</v>
      </c>
      <c r="G63">
        <v>30</v>
      </c>
      <c r="H63">
        <v>4</v>
      </c>
      <c r="I63">
        <v>0</v>
      </c>
      <c r="J63">
        <v>0</v>
      </c>
      <c r="K63">
        <v>0</v>
      </c>
      <c r="L63">
        <v>0</v>
      </c>
      <c r="M63">
        <v>0</v>
      </c>
      <c r="N63">
        <v>0</v>
      </c>
      <c r="O63">
        <v>3</v>
      </c>
      <c r="P63">
        <v>168</v>
      </c>
      <c r="Q63">
        <v>0</v>
      </c>
      <c r="R63">
        <f>SUM(Table10[[#This Row],[FOUR WHEELER (INVALID CARRIAGE)]:[TWO WHEELER(T)]])</f>
        <v>218</v>
      </c>
    </row>
    <row r="64" spans="1:18" x14ac:dyDescent="0.3">
      <c r="A64" s="1">
        <v>41699</v>
      </c>
      <c r="B64">
        <v>0</v>
      </c>
      <c r="C64">
        <v>0</v>
      </c>
      <c r="D64">
        <v>0</v>
      </c>
      <c r="E64">
        <v>0</v>
      </c>
      <c r="F64">
        <v>17</v>
      </c>
      <c r="G64">
        <v>40</v>
      </c>
      <c r="H64">
        <v>9</v>
      </c>
      <c r="I64">
        <v>0</v>
      </c>
      <c r="J64">
        <v>0</v>
      </c>
      <c r="K64">
        <v>0</v>
      </c>
      <c r="L64">
        <v>0</v>
      </c>
      <c r="M64">
        <v>0</v>
      </c>
      <c r="N64">
        <v>0</v>
      </c>
      <c r="O64">
        <v>2</v>
      </c>
      <c r="P64">
        <v>151</v>
      </c>
      <c r="Q64">
        <v>0</v>
      </c>
      <c r="R64">
        <f>SUM(Table10[[#This Row],[FOUR WHEELER (INVALID CARRIAGE)]:[TWO WHEELER(T)]])</f>
        <v>219</v>
      </c>
    </row>
    <row r="65" spans="1:18" x14ac:dyDescent="0.3">
      <c r="A65" s="1">
        <v>42064</v>
      </c>
      <c r="B65">
        <v>0</v>
      </c>
      <c r="C65">
        <v>0</v>
      </c>
      <c r="D65">
        <v>0</v>
      </c>
      <c r="E65">
        <v>0</v>
      </c>
      <c r="F65">
        <v>5</v>
      </c>
      <c r="G65">
        <v>72</v>
      </c>
      <c r="H65">
        <v>0</v>
      </c>
      <c r="I65">
        <v>0</v>
      </c>
      <c r="J65">
        <v>0</v>
      </c>
      <c r="K65">
        <v>0</v>
      </c>
      <c r="L65">
        <v>0</v>
      </c>
      <c r="M65">
        <v>0</v>
      </c>
      <c r="N65">
        <v>0</v>
      </c>
      <c r="O65">
        <v>1</v>
      </c>
      <c r="P65">
        <v>144</v>
      </c>
      <c r="Q65">
        <v>0</v>
      </c>
      <c r="R65">
        <f>SUM(Table10[[#This Row],[FOUR WHEELER (INVALID CARRIAGE)]:[TWO WHEELER(T)]])</f>
        <v>222</v>
      </c>
    </row>
    <row r="66" spans="1:18" x14ac:dyDescent="0.3">
      <c r="A66" s="1">
        <v>42430</v>
      </c>
      <c r="B66">
        <v>0</v>
      </c>
      <c r="C66">
        <v>0</v>
      </c>
      <c r="D66">
        <v>0</v>
      </c>
      <c r="E66">
        <v>0</v>
      </c>
      <c r="F66">
        <v>0</v>
      </c>
      <c r="G66">
        <v>56</v>
      </c>
      <c r="H66">
        <v>26</v>
      </c>
      <c r="I66">
        <v>0</v>
      </c>
      <c r="J66">
        <v>0</v>
      </c>
      <c r="K66">
        <v>1</v>
      </c>
      <c r="L66">
        <v>28</v>
      </c>
      <c r="M66">
        <v>1</v>
      </c>
      <c r="N66">
        <v>0</v>
      </c>
      <c r="O66">
        <v>4273</v>
      </c>
      <c r="P66">
        <v>134</v>
      </c>
      <c r="Q66">
        <v>0</v>
      </c>
      <c r="R66">
        <f>SUM(Table10[[#This Row],[FOUR WHEELER (INVALID CARRIAGE)]:[TWO WHEELER(T)]])</f>
        <v>4519</v>
      </c>
    </row>
    <row r="67" spans="1:18" x14ac:dyDescent="0.3">
      <c r="A67" s="1">
        <v>42795</v>
      </c>
      <c r="B67">
        <v>0</v>
      </c>
      <c r="C67">
        <v>1</v>
      </c>
      <c r="D67">
        <v>0</v>
      </c>
      <c r="E67">
        <v>0</v>
      </c>
      <c r="F67">
        <v>203</v>
      </c>
      <c r="G67">
        <v>80</v>
      </c>
      <c r="H67">
        <v>57</v>
      </c>
      <c r="I67">
        <v>0</v>
      </c>
      <c r="J67">
        <v>0</v>
      </c>
      <c r="K67">
        <v>0</v>
      </c>
      <c r="L67">
        <v>19</v>
      </c>
      <c r="M67">
        <v>0</v>
      </c>
      <c r="N67">
        <v>0</v>
      </c>
      <c r="O67">
        <v>5498</v>
      </c>
      <c r="P67">
        <v>132</v>
      </c>
      <c r="Q67">
        <v>0</v>
      </c>
      <c r="R67">
        <f>SUM(Table10[[#This Row],[FOUR WHEELER (INVALID CARRIAGE)]:[TWO WHEELER(T)]])</f>
        <v>5990</v>
      </c>
    </row>
    <row r="68" spans="1:18" x14ac:dyDescent="0.3">
      <c r="A68" s="1">
        <v>43160</v>
      </c>
      <c r="B68">
        <v>0</v>
      </c>
      <c r="C68">
        <v>0</v>
      </c>
      <c r="D68">
        <v>0</v>
      </c>
      <c r="E68">
        <v>6</v>
      </c>
      <c r="F68">
        <v>80</v>
      </c>
      <c r="G68">
        <v>93</v>
      </c>
      <c r="H68">
        <v>10</v>
      </c>
      <c r="I68">
        <v>0</v>
      </c>
      <c r="J68">
        <v>4</v>
      </c>
      <c r="K68">
        <v>0</v>
      </c>
      <c r="L68">
        <v>35</v>
      </c>
      <c r="M68">
        <v>9</v>
      </c>
      <c r="N68">
        <v>0</v>
      </c>
      <c r="O68">
        <v>6997</v>
      </c>
      <c r="P68">
        <v>461</v>
      </c>
      <c r="Q68">
        <v>0</v>
      </c>
      <c r="R68">
        <f>SUM(Table10[[#This Row],[FOUR WHEELER (INVALID CARRIAGE)]:[TWO WHEELER(T)]])</f>
        <v>7695</v>
      </c>
    </row>
    <row r="69" spans="1:18" x14ac:dyDescent="0.3">
      <c r="A69" s="1">
        <v>43525</v>
      </c>
      <c r="B69">
        <v>0</v>
      </c>
      <c r="C69">
        <v>0</v>
      </c>
      <c r="D69">
        <v>0</v>
      </c>
      <c r="E69">
        <v>4</v>
      </c>
      <c r="F69">
        <v>1</v>
      </c>
      <c r="G69">
        <v>162</v>
      </c>
      <c r="H69">
        <v>79</v>
      </c>
      <c r="I69">
        <v>0</v>
      </c>
      <c r="J69">
        <v>1</v>
      </c>
      <c r="K69">
        <v>0</v>
      </c>
      <c r="L69">
        <v>40</v>
      </c>
      <c r="M69">
        <v>5</v>
      </c>
      <c r="N69">
        <v>2</v>
      </c>
      <c r="O69">
        <v>8993</v>
      </c>
      <c r="P69">
        <v>5361</v>
      </c>
      <c r="Q69">
        <v>510</v>
      </c>
      <c r="R69">
        <f>SUM(Table10[[#This Row],[FOUR WHEELER (INVALID CARRIAGE)]:[TWO WHEELER(T)]])</f>
        <v>15158</v>
      </c>
    </row>
    <row r="70" spans="1:18" x14ac:dyDescent="0.3">
      <c r="A70" s="1">
        <v>43891</v>
      </c>
      <c r="B70">
        <v>0</v>
      </c>
      <c r="C70">
        <v>0</v>
      </c>
      <c r="D70">
        <v>0</v>
      </c>
      <c r="E70">
        <v>5</v>
      </c>
      <c r="F70">
        <v>3</v>
      </c>
      <c r="G70">
        <v>238</v>
      </c>
      <c r="H70">
        <v>187</v>
      </c>
      <c r="I70">
        <v>0</v>
      </c>
      <c r="J70">
        <v>2</v>
      </c>
      <c r="K70">
        <v>0</v>
      </c>
      <c r="L70">
        <v>40</v>
      </c>
      <c r="M70">
        <v>13</v>
      </c>
      <c r="N70">
        <v>0</v>
      </c>
      <c r="O70">
        <v>10695</v>
      </c>
      <c r="P70">
        <v>2846</v>
      </c>
      <c r="Q70">
        <v>37</v>
      </c>
      <c r="R70">
        <f>SUM(Table10[[#This Row],[FOUR WHEELER (INVALID CARRIAGE)]:[TWO WHEELER(T)]])</f>
        <v>14066</v>
      </c>
    </row>
    <row r="71" spans="1:18" x14ac:dyDescent="0.3">
      <c r="A71" s="1">
        <v>44256</v>
      </c>
      <c r="B71">
        <v>0</v>
      </c>
      <c r="C71">
        <v>0</v>
      </c>
      <c r="D71">
        <v>0</v>
      </c>
      <c r="E71">
        <v>42</v>
      </c>
      <c r="F71">
        <v>17</v>
      </c>
      <c r="G71">
        <v>799</v>
      </c>
      <c r="H71">
        <v>87</v>
      </c>
      <c r="I71">
        <v>0</v>
      </c>
      <c r="J71">
        <v>53</v>
      </c>
      <c r="K71">
        <v>0</v>
      </c>
      <c r="L71">
        <v>190</v>
      </c>
      <c r="M71">
        <v>12</v>
      </c>
      <c r="N71">
        <v>2</v>
      </c>
      <c r="O71">
        <v>14936</v>
      </c>
      <c r="P71">
        <v>11434</v>
      </c>
      <c r="Q71">
        <v>536</v>
      </c>
      <c r="R71">
        <f>SUM(Table10[[#This Row],[FOUR WHEELER (INVALID CARRIAGE)]:[TWO WHEELER(T)]])</f>
        <v>28108</v>
      </c>
    </row>
    <row r="72" spans="1:18" x14ac:dyDescent="0.3">
      <c r="A72" s="1">
        <v>44621</v>
      </c>
      <c r="B72">
        <v>0</v>
      </c>
      <c r="C72">
        <v>0</v>
      </c>
      <c r="D72">
        <v>2</v>
      </c>
      <c r="E72">
        <v>77</v>
      </c>
      <c r="F72">
        <v>30</v>
      </c>
      <c r="G72">
        <v>3656</v>
      </c>
      <c r="H72">
        <v>67</v>
      </c>
      <c r="I72">
        <v>0</v>
      </c>
      <c r="J72">
        <v>1</v>
      </c>
      <c r="K72">
        <v>0</v>
      </c>
      <c r="L72">
        <v>213</v>
      </c>
      <c r="M72">
        <v>52</v>
      </c>
      <c r="N72">
        <v>0</v>
      </c>
      <c r="O72">
        <v>24579</v>
      </c>
      <c r="P72">
        <v>54269</v>
      </c>
      <c r="Q72">
        <v>155</v>
      </c>
      <c r="R72">
        <f>SUM(Table10[[#This Row],[FOUR WHEELER (INVALID CARRIAGE)]:[TWO WHEELER(T)]])</f>
        <v>83101</v>
      </c>
    </row>
    <row r="73" spans="1:18" x14ac:dyDescent="0.3">
      <c r="A73" s="1">
        <v>44986</v>
      </c>
      <c r="B73">
        <v>3</v>
      </c>
      <c r="C73">
        <v>183</v>
      </c>
      <c r="D73">
        <v>1</v>
      </c>
      <c r="E73">
        <v>85</v>
      </c>
      <c r="F73">
        <v>72</v>
      </c>
      <c r="G73">
        <v>7157</v>
      </c>
      <c r="H73">
        <v>1676</v>
      </c>
      <c r="I73">
        <v>0</v>
      </c>
      <c r="J73">
        <v>13</v>
      </c>
      <c r="K73">
        <v>1</v>
      </c>
      <c r="L73">
        <v>11</v>
      </c>
      <c r="M73">
        <v>45</v>
      </c>
      <c r="N73">
        <v>9</v>
      </c>
      <c r="O73">
        <v>45305</v>
      </c>
      <c r="P73">
        <v>86325</v>
      </c>
      <c r="Q73">
        <v>34</v>
      </c>
      <c r="R73">
        <f>SUM(Table10[[#This Row],[FOUR WHEELER (INVALID CARRIAGE)]:[TWO WHEELER(T)]])</f>
        <v>140920</v>
      </c>
    </row>
    <row r="74" spans="1:18" x14ac:dyDescent="0.3">
      <c r="A74" s="1">
        <v>45352</v>
      </c>
      <c r="B74">
        <v>10</v>
      </c>
      <c r="C74">
        <v>44</v>
      </c>
      <c r="D74">
        <v>0</v>
      </c>
      <c r="E74">
        <v>468</v>
      </c>
      <c r="F74">
        <v>1645</v>
      </c>
      <c r="G74">
        <v>7609</v>
      </c>
      <c r="H74">
        <v>1787</v>
      </c>
      <c r="I74">
        <v>0</v>
      </c>
      <c r="J74">
        <v>4</v>
      </c>
      <c r="K74">
        <v>0</v>
      </c>
      <c r="L74">
        <v>0</v>
      </c>
      <c r="M74">
        <v>44</v>
      </c>
      <c r="N74">
        <v>1</v>
      </c>
      <c r="O74">
        <v>60618</v>
      </c>
      <c r="P74">
        <v>137113</v>
      </c>
      <c r="Q74">
        <v>470</v>
      </c>
      <c r="R74">
        <f>SUM(Table10[[#This Row],[FOUR WHEELER (INVALID CARRIAGE)]:[TWO WHEELER(T)]])</f>
        <v>209813</v>
      </c>
    </row>
    <row r="75" spans="1:18" x14ac:dyDescent="0.3">
      <c r="A75" s="1">
        <v>36982</v>
      </c>
      <c r="B75">
        <v>0</v>
      </c>
      <c r="C75">
        <v>0</v>
      </c>
      <c r="D75">
        <v>0</v>
      </c>
      <c r="E75">
        <v>0</v>
      </c>
      <c r="F75">
        <v>12</v>
      </c>
      <c r="G75">
        <v>20</v>
      </c>
      <c r="H75">
        <v>2</v>
      </c>
      <c r="I75">
        <v>0</v>
      </c>
      <c r="J75">
        <v>0</v>
      </c>
      <c r="K75">
        <v>0</v>
      </c>
      <c r="L75">
        <v>0</v>
      </c>
      <c r="M75">
        <v>0</v>
      </c>
      <c r="N75">
        <v>0</v>
      </c>
      <c r="O75">
        <v>1</v>
      </c>
      <c r="P75">
        <v>59</v>
      </c>
      <c r="Q75">
        <v>0</v>
      </c>
      <c r="R75">
        <f>SUM(Table10[[#This Row],[FOUR WHEELER (INVALID CARRIAGE)]:[TWO WHEELER(T)]])</f>
        <v>94</v>
      </c>
    </row>
    <row r="76" spans="1:18" x14ac:dyDescent="0.3">
      <c r="A76" s="1">
        <v>37347</v>
      </c>
      <c r="B76">
        <v>0</v>
      </c>
      <c r="C76">
        <v>3</v>
      </c>
      <c r="D76">
        <v>0</v>
      </c>
      <c r="E76">
        <v>0</v>
      </c>
      <c r="F76">
        <v>110</v>
      </c>
      <c r="G76">
        <v>9</v>
      </c>
      <c r="H76">
        <v>8</v>
      </c>
      <c r="I76">
        <v>1</v>
      </c>
      <c r="J76">
        <v>0</v>
      </c>
      <c r="K76">
        <v>0</v>
      </c>
      <c r="L76">
        <v>0</v>
      </c>
      <c r="M76">
        <v>0</v>
      </c>
      <c r="N76">
        <v>0</v>
      </c>
      <c r="O76">
        <v>1</v>
      </c>
      <c r="P76">
        <v>16</v>
      </c>
      <c r="Q76">
        <v>0</v>
      </c>
      <c r="R76">
        <f>SUM(Table10[[#This Row],[FOUR WHEELER (INVALID CARRIAGE)]:[TWO WHEELER(T)]])</f>
        <v>148</v>
      </c>
    </row>
    <row r="77" spans="1:18" x14ac:dyDescent="0.3">
      <c r="A77" s="1">
        <v>37712</v>
      </c>
      <c r="B77">
        <v>0</v>
      </c>
      <c r="C77">
        <v>0</v>
      </c>
      <c r="D77">
        <v>0</v>
      </c>
      <c r="E77">
        <v>0</v>
      </c>
      <c r="F77">
        <v>43</v>
      </c>
      <c r="G77">
        <v>22</v>
      </c>
      <c r="H77">
        <v>2</v>
      </c>
      <c r="I77">
        <v>0</v>
      </c>
      <c r="J77">
        <v>2</v>
      </c>
      <c r="K77">
        <v>0</v>
      </c>
      <c r="L77">
        <v>0</v>
      </c>
      <c r="M77">
        <v>0</v>
      </c>
      <c r="N77">
        <v>0</v>
      </c>
      <c r="O77">
        <v>0</v>
      </c>
      <c r="P77">
        <v>14</v>
      </c>
      <c r="Q77">
        <v>0</v>
      </c>
      <c r="R77">
        <f>SUM(Table10[[#This Row],[FOUR WHEELER (INVALID CARRIAGE)]:[TWO WHEELER(T)]])</f>
        <v>83</v>
      </c>
    </row>
    <row r="78" spans="1:18" x14ac:dyDescent="0.3">
      <c r="A78" s="1">
        <v>38078</v>
      </c>
      <c r="B78">
        <v>0</v>
      </c>
      <c r="C78">
        <v>1</v>
      </c>
      <c r="D78">
        <v>0</v>
      </c>
      <c r="E78">
        <v>0</v>
      </c>
      <c r="F78">
        <v>10</v>
      </c>
      <c r="G78">
        <v>30</v>
      </c>
      <c r="H78">
        <v>0</v>
      </c>
      <c r="I78">
        <v>0</v>
      </c>
      <c r="J78">
        <v>0</v>
      </c>
      <c r="K78">
        <v>0</v>
      </c>
      <c r="L78">
        <v>0</v>
      </c>
      <c r="M78">
        <v>1</v>
      </c>
      <c r="N78">
        <v>0</v>
      </c>
      <c r="O78">
        <v>2</v>
      </c>
      <c r="P78">
        <v>18</v>
      </c>
      <c r="Q78">
        <v>0</v>
      </c>
      <c r="R78">
        <f>SUM(Table10[[#This Row],[FOUR WHEELER (INVALID CARRIAGE)]:[TWO WHEELER(T)]])</f>
        <v>62</v>
      </c>
    </row>
    <row r="79" spans="1:18" x14ac:dyDescent="0.3">
      <c r="A79" s="1">
        <v>38443</v>
      </c>
      <c r="B79">
        <v>0</v>
      </c>
      <c r="C79">
        <v>1</v>
      </c>
      <c r="D79">
        <v>1</v>
      </c>
      <c r="E79">
        <v>2</v>
      </c>
      <c r="F79">
        <v>5</v>
      </c>
      <c r="G79">
        <v>9</v>
      </c>
      <c r="H79">
        <v>1</v>
      </c>
      <c r="I79">
        <v>0</v>
      </c>
      <c r="J79">
        <v>0</v>
      </c>
      <c r="K79">
        <v>0</v>
      </c>
      <c r="L79">
        <v>5</v>
      </c>
      <c r="M79">
        <v>0</v>
      </c>
      <c r="N79">
        <v>0</v>
      </c>
      <c r="O79">
        <v>4</v>
      </c>
      <c r="P79">
        <v>60</v>
      </c>
      <c r="Q79">
        <v>0</v>
      </c>
      <c r="R79">
        <f>SUM(Table10[[#This Row],[FOUR WHEELER (INVALID CARRIAGE)]:[TWO WHEELER(T)]])</f>
        <v>88</v>
      </c>
    </row>
    <row r="80" spans="1:18" x14ac:dyDescent="0.3">
      <c r="A80" s="1">
        <v>38808</v>
      </c>
      <c r="B80">
        <v>0</v>
      </c>
      <c r="C80">
        <v>0</v>
      </c>
      <c r="D80">
        <v>0</v>
      </c>
      <c r="E80">
        <v>0</v>
      </c>
      <c r="F80">
        <v>12</v>
      </c>
      <c r="G80">
        <v>20</v>
      </c>
      <c r="H80">
        <v>2</v>
      </c>
      <c r="I80">
        <v>0</v>
      </c>
      <c r="J80">
        <v>0</v>
      </c>
      <c r="K80">
        <v>0</v>
      </c>
      <c r="L80">
        <v>0</v>
      </c>
      <c r="M80">
        <v>0</v>
      </c>
      <c r="N80">
        <v>0</v>
      </c>
      <c r="O80">
        <v>1</v>
      </c>
      <c r="P80">
        <v>59</v>
      </c>
      <c r="Q80">
        <v>0</v>
      </c>
      <c r="R80">
        <f>SUM(Table10[[#This Row],[FOUR WHEELER (INVALID CARRIAGE)]:[TWO WHEELER(T)]])</f>
        <v>94</v>
      </c>
    </row>
    <row r="81" spans="1:18" x14ac:dyDescent="0.3">
      <c r="A81" s="1">
        <v>39173</v>
      </c>
      <c r="B81">
        <v>0</v>
      </c>
      <c r="C81">
        <v>0</v>
      </c>
      <c r="D81">
        <v>3</v>
      </c>
      <c r="E81">
        <v>0</v>
      </c>
      <c r="F81">
        <v>7</v>
      </c>
      <c r="G81">
        <v>26</v>
      </c>
      <c r="H81">
        <v>1</v>
      </c>
      <c r="I81">
        <v>0</v>
      </c>
      <c r="J81">
        <v>0</v>
      </c>
      <c r="K81">
        <v>0</v>
      </c>
      <c r="L81">
        <v>2</v>
      </c>
      <c r="M81">
        <v>0</v>
      </c>
      <c r="N81">
        <v>0</v>
      </c>
      <c r="O81">
        <v>11</v>
      </c>
      <c r="P81">
        <v>126</v>
      </c>
      <c r="Q81">
        <v>0</v>
      </c>
      <c r="R81">
        <f>SUM(Table10[[#This Row],[FOUR WHEELER (INVALID CARRIAGE)]:[TWO WHEELER(T)]])</f>
        <v>176</v>
      </c>
    </row>
    <row r="82" spans="1:18" x14ac:dyDescent="0.3">
      <c r="A82" s="1">
        <v>39539</v>
      </c>
      <c r="B82">
        <v>0</v>
      </c>
      <c r="C82">
        <v>1</v>
      </c>
      <c r="D82">
        <v>0</v>
      </c>
      <c r="E82">
        <v>0</v>
      </c>
      <c r="F82">
        <v>4</v>
      </c>
      <c r="G82">
        <v>28</v>
      </c>
      <c r="H82">
        <v>1</v>
      </c>
      <c r="I82">
        <v>0</v>
      </c>
      <c r="J82">
        <v>0</v>
      </c>
      <c r="K82">
        <v>0</v>
      </c>
      <c r="L82">
        <v>0</v>
      </c>
      <c r="M82">
        <v>0</v>
      </c>
      <c r="N82">
        <v>0</v>
      </c>
      <c r="O82">
        <v>2</v>
      </c>
      <c r="P82">
        <v>723</v>
      </c>
      <c r="Q82">
        <v>0</v>
      </c>
      <c r="R82">
        <f>SUM(Table10[[#This Row],[FOUR WHEELER (INVALID CARRIAGE)]:[TWO WHEELER(T)]])</f>
        <v>759</v>
      </c>
    </row>
    <row r="83" spans="1:18" x14ac:dyDescent="0.3">
      <c r="A83" s="1">
        <v>39904</v>
      </c>
      <c r="B83">
        <v>0</v>
      </c>
      <c r="C83">
        <v>0</v>
      </c>
      <c r="D83">
        <v>0</v>
      </c>
      <c r="E83">
        <v>0</v>
      </c>
      <c r="F83">
        <v>2</v>
      </c>
      <c r="G83">
        <v>44</v>
      </c>
      <c r="H83">
        <v>1</v>
      </c>
      <c r="I83">
        <v>0</v>
      </c>
      <c r="J83">
        <v>0</v>
      </c>
      <c r="K83">
        <v>0</v>
      </c>
      <c r="L83">
        <v>1</v>
      </c>
      <c r="M83">
        <v>0</v>
      </c>
      <c r="N83">
        <v>0</v>
      </c>
      <c r="O83">
        <v>1</v>
      </c>
      <c r="P83">
        <v>616</v>
      </c>
      <c r="Q83">
        <v>0</v>
      </c>
      <c r="R83">
        <f>SUM(Table10[[#This Row],[FOUR WHEELER (INVALID CARRIAGE)]:[TWO WHEELER(T)]])</f>
        <v>665</v>
      </c>
    </row>
    <row r="84" spans="1:18" x14ac:dyDescent="0.3">
      <c r="A84" s="1">
        <v>40269</v>
      </c>
      <c r="B84">
        <v>0</v>
      </c>
      <c r="C84">
        <v>3</v>
      </c>
      <c r="D84">
        <v>1</v>
      </c>
      <c r="E84">
        <v>0</v>
      </c>
      <c r="F84">
        <v>5</v>
      </c>
      <c r="G84">
        <v>20</v>
      </c>
      <c r="H84">
        <v>2</v>
      </c>
      <c r="I84">
        <v>0</v>
      </c>
      <c r="J84">
        <v>0</v>
      </c>
      <c r="K84">
        <v>0</v>
      </c>
      <c r="L84">
        <v>0</v>
      </c>
      <c r="M84">
        <v>0</v>
      </c>
      <c r="N84">
        <v>0</v>
      </c>
      <c r="O84">
        <v>0</v>
      </c>
      <c r="P84">
        <v>344</v>
      </c>
      <c r="Q84">
        <v>0</v>
      </c>
      <c r="R84">
        <f>SUM(Table10[[#This Row],[FOUR WHEELER (INVALID CARRIAGE)]:[TWO WHEELER(T)]])</f>
        <v>375</v>
      </c>
    </row>
    <row r="85" spans="1:18" x14ac:dyDescent="0.3">
      <c r="A85" s="1">
        <v>40634</v>
      </c>
      <c r="B85">
        <v>0</v>
      </c>
      <c r="C85">
        <v>3</v>
      </c>
      <c r="D85">
        <v>1</v>
      </c>
      <c r="E85">
        <v>0</v>
      </c>
      <c r="F85">
        <v>2</v>
      </c>
      <c r="G85">
        <v>62</v>
      </c>
      <c r="H85">
        <v>0</v>
      </c>
      <c r="I85">
        <v>0</v>
      </c>
      <c r="J85">
        <v>0</v>
      </c>
      <c r="K85">
        <v>0</v>
      </c>
      <c r="L85">
        <v>1</v>
      </c>
      <c r="M85">
        <v>0</v>
      </c>
      <c r="N85">
        <v>0</v>
      </c>
      <c r="O85">
        <v>4</v>
      </c>
      <c r="P85">
        <v>430</v>
      </c>
      <c r="Q85">
        <v>0</v>
      </c>
      <c r="R85">
        <f>SUM(Table10[[#This Row],[FOUR WHEELER (INVALID CARRIAGE)]:[TWO WHEELER(T)]])</f>
        <v>503</v>
      </c>
    </row>
    <row r="86" spans="1:18" x14ac:dyDescent="0.3">
      <c r="A86" s="1">
        <v>41000</v>
      </c>
      <c r="B86">
        <v>0</v>
      </c>
      <c r="C86">
        <v>1</v>
      </c>
      <c r="D86">
        <v>1</v>
      </c>
      <c r="E86">
        <v>0</v>
      </c>
      <c r="F86">
        <v>5</v>
      </c>
      <c r="G86">
        <v>16</v>
      </c>
      <c r="H86">
        <v>1</v>
      </c>
      <c r="I86">
        <v>0</v>
      </c>
      <c r="J86">
        <v>0</v>
      </c>
      <c r="K86">
        <v>0</v>
      </c>
      <c r="L86">
        <v>0</v>
      </c>
      <c r="M86">
        <v>0</v>
      </c>
      <c r="N86">
        <v>0</v>
      </c>
      <c r="O86">
        <v>1</v>
      </c>
      <c r="P86">
        <v>417</v>
      </c>
      <c r="Q86">
        <v>0</v>
      </c>
      <c r="R86">
        <f>SUM(Table10[[#This Row],[FOUR WHEELER (INVALID CARRIAGE)]:[TWO WHEELER(T)]])</f>
        <v>442</v>
      </c>
    </row>
    <row r="87" spans="1:18" x14ac:dyDescent="0.3">
      <c r="A87" s="1">
        <v>41365</v>
      </c>
      <c r="B87">
        <v>0</v>
      </c>
      <c r="C87">
        <v>2</v>
      </c>
      <c r="D87">
        <v>0</v>
      </c>
      <c r="E87">
        <v>0</v>
      </c>
      <c r="F87">
        <v>9</v>
      </c>
      <c r="G87">
        <v>72</v>
      </c>
      <c r="H87">
        <v>1</v>
      </c>
      <c r="I87">
        <v>0</v>
      </c>
      <c r="J87">
        <v>0</v>
      </c>
      <c r="K87">
        <v>0</v>
      </c>
      <c r="L87">
        <v>1</v>
      </c>
      <c r="M87">
        <v>0</v>
      </c>
      <c r="N87">
        <v>0</v>
      </c>
      <c r="O87">
        <v>1</v>
      </c>
      <c r="P87">
        <v>125</v>
      </c>
      <c r="Q87">
        <v>0</v>
      </c>
      <c r="R87">
        <f>SUM(Table10[[#This Row],[FOUR WHEELER (INVALID CARRIAGE)]:[TWO WHEELER(T)]])</f>
        <v>211</v>
      </c>
    </row>
    <row r="88" spans="1:18" x14ac:dyDescent="0.3">
      <c r="A88" s="1">
        <v>41730</v>
      </c>
      <c r="B88">
        <v>0</v>
      </c>
      <c r="C88">
        <v>1</v>
      </c>
      <c r="D88">
        <v>1</v>
      </c>
      <c r="E88">
        <v>0</v>
      </c>
      <c r="F88">
        <v>10</v>
      </c>
      <c r="G88">
        <v>44</v>
      </c>
      <c r="H88">
        <v>2</v>
      </c>
      <c r="I88">
        <v>0</v>
      </c>
      <c r="J88">
        <v>0</v>
      </c>
      <c r="K88">
        <v>0</v>
      </c>
      <c r="L88">
        <v>0</v>
      </c>
      <c r="M88">
        <v>0</v>
      </c>
      <c r="N88">
        <v>0</v>
      </c>
      <c r="O88">
        <v>2</v>
      </c>
      <c r="P88">
        <v>192</v>
      </c>
      <c r="Q88">
        <v>0</v>
      </c>
      <c r="R88">
        <f>SUM(Table10[[#This Row],[FOUR WHEELER (INVALID CARRIAGE)]:[TWO WHEELER(T)]])</f>
        <v>252</v>
      </c>
    </row>
    <row r="89" spans="1:18" x14ac:dyDescent="0.3">
      <c r="A89" s="1">
        <v>42095</v>
      </c>
      <c r="B89">
        <v>0</v>
      </c>
      <c r="C89">
        <v>0</v>
      </c>
      <c r="D89">
        <v>0</v>
      </c>
      <c r="E89">
        <v>0</v>
      </c>
      <c r="F89">
        <v>1</v>
      </c>
      <c r="G89">
        <v>42</v>
      </c>
      <c r="H89">
        <v>4</v>
      </c>
      <c r="I89">
        <v>1</v>
      </c>
      <c r="J89">
        <v>1</v>
      </c>
      <c r="K89">
        <v>0</v>
      </c>
      <c r="L89">
        <v>0</v>
      </c>
      <c r="M89">
        <v>0</v>
      </c>
      <c r="N89">
        <v>0</v>
      </c>
      <c r="O89">
        <v>11</v>
      </c>
      <c r="P89">
        <v>111</v>
      </c>
      <c r="Q89">
        <v>0</v>
      </c>
      <c r="R89">
        <f>SUM(Table10[[#This Row],[FOUR WHEELER (INVALID CARRIAGE)]:[TWO WHEELER(T)]])</f>
        <v>171</v>
      </c>
    </row>
    <row r="90" spans="1:18" x14ac:dyDescent="0.3">
      <c r="A90" s="1">
        <v>42461</v>
      </c>
      <c r="B90">
        <v>0</v>
      </c>
      <c r="C90">
        <v>1</v>
      </c>
      <c r="D90">
        <v>0</v>
      </c>
      <c r="E90">
        <v>1</v>
      </c>
      <c r="F90">
        <v>8</v>
      </c>
      <c r="G90">
        <v>66</v>
      </c>
      <c r="H90">
        <v>3</v>
      </c>
      <c r="I90">
        <v>0</v>
      </c>
      <c r="J90">
        <v>0</v>
      </c>
      <c r="K90">
        <v>0</v>
      </c>
      <c r="L90">
        <v>340</v>
      </c>
      <c r="M90">
        <v>9</v>
      </c>
      <c r="N90">
        <v>0</v>
      </c>
      <c r="O90">
        <v>2903</v>
      </c>
      <c r="P90">
        <v>120</v>
      </c>
      <c r="Q90">
        <v>0</v>
      </c>
      <c r="R90">
        <f>SUM(Table10[[#This Row],[FOUR WHEELER (INVALID CARRIAGE)]:[TWO WHEELER(T)]])</f>
        <v>3451</v>
      </c>
    </row>
    <row r="91" spans="1:18" x14ac:dyDescent="0.3">
      <c r="A91" s="1">
        <v>42826</v>
      </c>
      <c r="B91">
        <v>0</v>
      </c>
      <c r="C91">
        <v>0</v>
      </c>
      <c r="D91">
        <v>0</v>
      </c>
      <c r="E91">
        <v>0</v>
      </c>
      <c r="F91">
        <v>109</v>
      </c>
      <c r="G91">
        <v>82</v>
      </c>
      <c r="H91">
        <v>7</v>
      </c>
      <c r="I91">
        <v>0</v>
      </c>
      <c r="J91">
        <v>0</v>
      </c>
      <c r="K91">
        <v>0</v>
      </c>
      <c r="L91">
        <v>12</v>
      </c>
      <c r="M91">
        <v>1</v>
      </c>
      <c r="N91">
        <v>1</v>
      </c>
      <c r="O91">
        <v>4747</v>
      </c>
      <c r="P91">
        <v>95</v>
      </c>
      <c r="Q91">
        <v>0</v>
      </c>
      <c r="R91">
        <f>SUM(Table10[[#This Row],[FOUR WHEELER (INVALID CARRIAGE)]:[TWO WHEELER(T)]])</f>
        <v>5054</v>
      </c>
    </row>
    <row r="92" spans="1:18" x14ac:dyDescent="0.3">
      <c r="A92" s="1">
        <v>43191</v>
      </c>
      <c r="B92">
        <v>0</v>
      </c>
      <c r="C92">
        <v>0</v>
      </c>
      <c r="D92">
        <v>0</v>
      </c>
      <c r="E92">
        <v>9</v>
      </c>
      <c r="F92">
        <v>65</v>
      </c>
      <c r="G92">
        <v>94</v>
      </c>
      <c r="H92">
        <v>54</v>
      </c>
      <c r="I92">
        <v>0</v>
      </c>
      <c r="J92">
        <v>0</v>
      </c>
      <c r="K92">
        <v>0</v>
      </c>
      <c r="L92">
        <v>33</v>
      </c>
      <c r="M92">
        <v>10</v>
      </c>
      <c r="N92">
        <v>0</v>
      </c>
      <c r="O92">
        <v>6581</v>
      </c>
      <c r="P92">
        <v>486</v>
      </c>
      <c r="Q92">
        <v>2</v>
      </c>
      <c r="R92">
        <f>SUM(Table10[[#This Row],[FOUR WHEELER (INVALID CARRIAGE)]:[TWO WHEELER(T)]])</f>
        <v>7334</v>
      </c>
    </row>
    <row r="93" spans="1:18" x14ac:dyDescent="0.3">
      <c r="A93" s="1">
        <v>43556</v>
      </c>
      <c r="B93">
        <v>0</v>
      </c>
      <c r="C93">
        <v>0</v>
      </c>
      <c r="D93">
        <v>0</v>
      </c>
      <c r="E93">
        <v>15</v>
      </c>
      <c r="F93">
        <v>3</v>
      </c>
      <c r="G93">
        <v>111</v>
      </c>
      <c r="H93">
        <v>29</v>
      </c>
      <c r="I93">
        <v>0</v>
      </c>
      <c r="J93">
        <v>18</v>
      </c>
      <c r="K93">
        <v>0</v>
      </c>
      <c r="L93">
        <v>64</v>
      </c>
      <c r="M93">
        <v>2</v>
      </c>
      <c r="N93">
        <v>1</v>
      </c>
      <c r="O93">
        <v>7888</v>
      </c>
      <c r="P93">
        <v>3081</v>
      </c>
      <c r="Q93">
        <v>0</v>
      </c>
      <c r="R93">
        <f>SUM(Table10[[#This Row],[FOUR WHEELER (INVALID CARRIAGE)]:[TWO WHEELER(T)]])</f>
        <v>11212</v>
      </c>
    </row>
    <row r="94" spans="1:18" x14ac:dyDescent="0.3">
      <c r="A94" s="1">
        <v>43922</v>
      </c>
      <c r="B94">
        <v>0</v>
      </c>
      <c r="C94">
        <v>0</v>
      </c>
      <c r="D94">
        <v>0</v>
      </c>
      <c r="E94">
        <v>0</v>
      </c>
      <c r="F94">
        <v>0</v>
      </c>
      <c r="G94">
        <v>2</v>
      </c>
      <c r="H94">
        <v>1</v>
      </c>
      <c r="I94">
        <v>0</v>
      </c>
      <c r="J94">
        <v>0</v>
      </c>
      <c r="K94">
        <v>0</v>
      </c>
      <c r="L94">
        <v>17</v>
      </c>
      <c r="M94">
        <v>0</v>
      </c>
      <c r="N94">
        <v>0</v>
      </c>
      <c r="O94">
        <v>870</v>
      </c>
      <c r="P94">
        <v>85</v>
      </c>
      <c r="Q94">
        <v>0</v>
      </c>
      <c r="R94">
        <f>SUM(Table10[[#This Row],[FOUR WHEELER (INVALID CARRIAGE)]:[TWO WHEELER(T)]])</f>
        <v>975</v>
      </c>
    </row>
    <row r="95" spans="1:18" x14ac:dyDescent="0.3">
      <c r="A95" s="1">
        <v>44287</v>
      </c>
      <c r="B95">
        <v>0</v>
      </c>
      <c r="C95">
        <v>0</v>
      </c>
      <c r="D95">
        <v>0</v>
      </c>
      <c r="E95">
        <v>149</v>
      </c>
      <c r="F95">
        <v>440</v>
      </c>
      <c r="G95">
        <v>610</v>
      </c>
      <c r="H95">
        <v>24</v>
      </c>
      <c r="I95">
        <v>0</v>
      </c>
      <c r="J95">
        <v>6</v>
      </c>
      <c r="K95">
        <v>0</v>
      </c>
      <c r="L95">
        <v>132</v>
      </c>
      <c r="M95">
        <v>15</v>
      </c>
      <c r="N95">
        <v>0</v>
      </c>
      <c r="O95">
        <v>7945</v>
      </c>
      <c r="P95">
        <v>5574</v>
      </c>
      <c r="Q95">
        <v>128</v>
      </c>
      <c r="R95">
        <f>SUM(Table10[[#This Row],[FOUR WHEELER (INVALID CARRIAGE)]:[TWO WHEELER(T)]])</f>
        <v>15023</v>
      </c>
    </row>
    <row r="96" spans="1:18" x14ac:dyDescent="0.3">
      <c r="A96" s="1">
        <v>44652</v>
      </c>
      <c r="B96">
        <v>1</v>
      </c>
      <c r="C96">
        <v>0</v>
      </c>
      <c r="D96">
        <v>0</v>
      </c>
      <c r="E96">
        <v>165</v>
      </c>
      <c r="F96">
        <v>20</v>
      </c>
      <c r="G96">
        <v>1805</v>
      </c>
      <c r="H96">
        <v>450</v>
      </c>
      <c r="I96">
        <v>0</v>
      </c>
      <c r="J96">
        <v>0</v>
      </c>
      <c r="K96">
        <v>0</v>
      </c>
      <c r="L96">
        <v>133</v>
      </c>
      <c r="M96">
        <v>37</v>
      </c>
      <c r="N96">
        <v>2</v>
      </c>
      <c r="O96">
        <v>21629</v>
      </c>
      <c r="P96">
        <v>52833</v>
      </c>
      <c r="Q96">
        <v>538</v>
      </c>
      <c r="R96">
        <f>SUM(Table10[[#This Row],[FOUR WHEELER (INVALID CARRIAGE)]:[TWO WHEELER(T)]])</f>
        <v>77613</v>
      </c>
    </row>
    <row r="97" spans="1:18" x14ac:dyDescent="0.3">
      <c r="A97" s="1">
        <v>45017</v>
      </c>
      <c r="B97">
        <v>5</v>
      </c>
      <c r="C97">
        <v>46</v>
      </c>
      <c r="D97">
        <v>1</v>
      </c>
      <c r="E97">
        <v>87</v>
      </c>
      <c r="F97">
        <v>135</v>
      </c>
      <c r="G97">
        <v>5412</v>
      </c>
      <c r="H97">
        <v>624</v>
      </c>
      <c r="I97">
        <v>0</v>
      </c>
      <c r="J97">
        <v>1</v>
      </c>
      <c r="K97">
        <v>0</v>
      </c>
      <c r="L97">
        <v>1</v>
      </c>
      <c r="M97">
        <v>38</v>
      </c>
      <c r="N97">
        <v>2</v>
      </c>
      <c r="O97">
        <v>38131</v>
      </c>
      <c r="P97">
        <v>66866</v>
      </c>
      <c r="Q97">
        <v>9</v>
      </c>
      <c r="R97">
        <f>SUM(Table10[[#This Row],[FOUR WHEELER (INVALID CARRIAGE)]:[TWO WHEELER(T)]])</f>
        <v>111358</v>
      </c>
    </row>
    <row r="98" spans="1:18" x14ac:dyDescent="0.3">
      <c r="A98" s="1">
        <v>45383</v>
      </c>
      <c r="B98">
        <v>3</v>
      </c>
      <c r="C98">
        <v>0</v>
      </c>
      <c r="D98">
        <v>0</v>
      </c>
      <c r="E98">
        <v>219</v>
      </c>
      <c r="F98">
        <v>279</v>
      </c>
      <c r="G98">
        <v>7023</v>
      </c>
      <c r="H98">
        <v>182</v>
      </c>
      <c r="I98">
        <v>0</v>
      </c>
      <c r="J98">
        <v>2</v>
      </c>
      <c r="K98">
        <v>0</v>
      </c>
      <c r="L98">
        <v>0</v>
      </c>
      <c r="M98">
        <v>17</v>
      </c>
      <c r="N98">
        <v>0</v>
      </c>
      <c r="O98">
        <v>41106</v>
      </c>
      <c r="P98">
        <v>64503</v>
      </c>
      <c r="Q98">
        <v>11</v>
      </c>
      <c r="R98">
        <f>SUM(Table10[[#This Row],[FOUR WHEELER (INVALID CARRIAGE)]:[TWO WHEELER(T)]])</f>
        <v>113345</v>
      </c>
    </row>
    <row r="99" spans="1:18" x14ac:dyDescent="0.3">
      <c r="A99" s="1">
        <v>37012</v>
      </c>
      <c r="B99">
        <v>0</v>
      </c>
      <c r="C99">
        <v>0</v>
      </c>
      <c r="D99">
        <v>0</v>
      </c>
      <c r="E99">
        <v>0</v>
      </c>
      <c r="F99">
        <v>14</v>
      </c>
      <c r="G99">
        <v>17</v>
      </c>
      <c r="H99">
        <v>0</v>
      </c>
      <c r="I99">
        <v>0</v>
      </c>
      <c r="J99">
        <v>0</v>
      </c>
      <c r="K99">
        <v>0</v>
      </c>
      <c r="L99">
        <v>0</v>
      </c>
      <c r="M99">
        <v>0</v>
      </c>
      <c r="N99">
        <v>0</v>
      </c>
      <c r="O99">
        <v>2</v>
      </c>
      <c r="P99">
        <v>69</v>
      </c>
      <c r="Q99">
        <v>0</v>
      </c>
      <c r="R99">
        <f>SUM(Table10[[#This Row],[FOUR WHEELER (INVALID CARRIAGE)]:[TWO WHEELER(T)]])</f>
        <v>102</v>
      </c>
    </row>
    <row r="100" spans="1:18" x14ac:dyDescent="0.3">
      <c r="A100" s="1">
        <v>37377</v>
      </c>
      <c r="B100">
        <v>0</v>
      </c>
      <c r="C100">
        <v>1</v>
      </c>
      <c r="D100">
        <v>0</v>
      </c>
      <c r="E100">
        <v>0</v>
      </c>
      <c r="F100">
        <v>120</v>
      </c>
      <c r="G100">
        <v>19</v>
      </c>
      <c r="H100">
        <v>4</v>
      </c>
      <c r="I100">
        <v>0</v>
      </c>
      <c r="J100">
        <v>0</v>
      </c>
      <c r="K100">
        <v>0</v>
      </c>
      <c r="L100">
        <v>0</v>
      </c>
      <c r="M100">
        <v>0</v>
      </c>
      <c r="N100">
        <v>0</v>
      </c>
      <c r="O100">
        <v>4</v>
      </c>
      <c r="P100">
        <v>20</v>
      </c>
      <c r="Q100">
        <v>0</v>
      </c>
      <c r="R100">
        <f>SUM(Table10[[#This Row],[FOUR WHEELER (INVALID CARRIAGE)]:[TWO WHEELER(T)]])</f>
        <v>168</v>
      </c>
    </row>
    <row r="101" spans="1:18" x14ac:dyDescent="0.3">
      <c r="A101" s="1">
        <v>37742</v>
      </c>
      <c r="B101">
        <v>0</v>
      </c>
      <c r="C101">
        <v>0</v>
      </c>
      <c r="D101">
        <v>1</v>
      </c>
      <c r="E101">
        <v>0</v>
      </c>
      <c r="F101">
        <v>34</v>
      </c>
      <c r="G101">
        <v>33</v>
      </c>
      <c r="H101">
        <v>4</v>
      </c>
      <c r="I101">
        <v>0</v>
      </c>
      <c r="J101">
        <v>0</v>
      </c>
      <c r="K101">
        <v>1</v>
      </c>
      <c r="L101">
        <v>1</v>
      </c>
      <c r="M101">
        <v>0</v>
      </c>
      <c r="N101">
        <v>0</v>
      </c>
      <c r="O101">
        <v>1</v>
      </c>
      <c r="P101">
        <v>12</v>
      </c>
      <c r="Q101">
        <v>0</v>
      </c>
      <c r="R101">
        <f>SUM(Table10[[#This Row],[FOUR WHEELER (INVALID CARRIAGE)]:[TWO WHEELER(T)]])</f>
        <v>87</v>
      </c>
    </row>
    <row r="102" spans="1:18" x14ac:dyDescent="0.3">
      <c r="A102" s="1">
        <v>38108</v>
      </c>
      <c r="B102">
        <v>0</v>
      </c>
      <c r="C102">
        <v>2</v>
      </c>
      <c r="D102">
        <v>0</v>
      </c>
      <c r="E102">
        <v>0</v>
      </c>
      <c r="F102">
        <v>4</v>
      </c>
      <c r="G102">
        <v>18</v>
      </c>
      <c r="H102">
        <v>2</v>
      </c>
      <c r="I102">
        <v>0</v>
      </c>
      <c r="J102">
        <v>0</v>
      </c>
      <c r="K102">
        <v>0</v>
      </c>
      <c r="L102">
        <v>0</v>
      </c>
      <c r="M102">
        <v>1</v>
      </c>
      <c r="N102">
        <v>0</v>
      </c>
      <c r="O102">
        <v>5</v>
      </c>
      <c r="P102">
        <v>13</v>
      </c>
      <c r="Q102">
        <v>0</v>
      </c>
      <c r="R102">
        <f>SUM(Table10[[#This Row],[FOUR WHEELER (INVALID CARRIAGE)]:[TWO WHEELER(T)]])</f>
        <v>45</v>
      </c>
    </row>
    <row r="103" spans="1:18" x14ac:dyDescent="0.3">
      <c r="A103" s="1">
        <v>38473</v>
      </c>
      <c r="B103">
        <v>0</v>
      </c>
      <c r="C103">
        <v>0</v>
      </c>
      <c r="D103">
        <v>0</v>
      </c>
      <c r="E103">
        <v>0</v>
      </c>
      <c r="F103">
        <v>5</v>
      </c>
      <c r="G103">
        <v>25</v>
      </c>
      <c r="H103">
        <v>0</v>
      </c>
      <c r="I103">
        <v>0</v>
      </c>
      <c r="J103">
        <v>0</v>
      </c>
      <c r="K103">
        <v>0</v>
      </c>
      <c r="L103">
        <v>0</v>
      </c>
      <c r="M103">
        <v>0</v>
      </c>
      <c r="N103">
        <v>0</v>
      </c>
      <c r="O103">
        <v>1</v>
      </c>
      <c r="P103">
        <v>62</v>
      </c>
      <c r="Q103">
        <v>0</v>
      </c>
      <c r="R103">
        <f>SUM(Table10[[#This Row],[FOUR WHEELER (INVALID CARRIAGE)]:[TWO WHEELER(T)]])</f>
        <v>93</v>
      </c>
    </row>
    <row r="104" spans="1:18" x14ac:dyDescent="0.3">
      <c r="A104" s="1">
        <v>38838</v>
      </c>
      <c r="B104">
        <v>0</v>
      </c>
      <c r="C104">
        <v>0</v>
      </c>
      <c r="D104">
        <v>0</v>
      </c>
      <c r="E104">
        <v>0</v>
      </c>
      <c r="F104">
        <v>14</v>
      </c>
      <c r="G104">
        <v>17</v>
      </c>
      <c r="H104">
        <v>0</v>
      </c>
      <c r="I104">
        <v>0</v>
      </c>
      <c r="J104">
        <v>0</v>
      </c>
      <c r="K104">
        <v>0</v>
      </c>
      <c r="L104">
        <v>0</v>
      </c>
      <c r="M104">
        <v>0</v>
      </c>
      <c r="N104">
        <v>0</v>
      </c>
      <c r="O104">
        <v>2</v>
      </c>
      <c r="P104">
        <v>69</v>
      </c>
      <c r="Q104">
        <v>0</v>
      </c>
      <c r="R104">
        <f>SUM(Table10[[#This Row],[FOUR WHEELER (INVALID CARRIAGE)]:[TWO WHEELER(T)]])</f>
        <v>102</v>
      </c>
    </row>
    <row r="105" spans="1:18" x14ac:dyDescent="0.3">
      <c r="A105" s="1">
        <v>39203</v>
      </c>
      <c r="B105">
        <v>0</v>
      </c>
      <c r="C105">
        <v>0</v>
      </c>
      <c r="D105">
        <v>6</v>
      </c>
      <c r="E105">
        <v>2</v>
      </c>
      <c r="F105">
        <v>6</v>
      </c>
      <c r="G105">
        <v>20</v>
      </c>
      <c r="H105">
        <v>0</v>
      </c>
      <c r="I105">
        <v>0</v>
      </c>
      <c r="J105">
        <v>0</v>
      </c>
      <c r="K105">
        <v>0</v>
      </c>
      <c r="L105">
        <v>2</v>
      </c>
      <c r="M105">
        <v>0</v>
      </c>
      <c r="N105">
        <v>0</v>
      </c>
      <c r="O105">
        <v>3</v>
      </c>
      <c r="P105">
        <v>201</v>
      </c>
      <c r="Q105">
        <v>0</v>
      </c>
      <c r="R105">
        <f>SUM(Table10[[#This Row],[FOUR WHEELER (INVALID CARRIAGE)]:[TWO WHEELER(T)]])</f>
        <v>240</v>
      </c>
    </row>
    <row r="106" spans="1:18" x14ac:dyDescent="0.3">
      <c r="A106" s="1">
        <v>39569</v>
      </c>
      <c r="B106">
        <v>0</v>
      </c>
      <c r="C106">
        <v>0</v>
      </c>
      <c r="D106">
        <v>2</v>
      </c>
      <c r="E106">
        <v>0</v>
      </c>
      <c r="F106">
        <v>0</v>
      </c>
      <c r="G106">
        <v>29</v>
      </c>
      <c r="H106">
        <v>0</v>
      </c>
      <c r="I106">
        <v>1</v>
      </c>
      <c r="J106">
        <v>0</v>
      </c>
      <c r="K106">
        <v>1</v>
      </c>
      <c r="L106">
        <v>0</v>
      </c>
      <c r="M106">
        <v>0</v>
      </c>
      <c r="N106">
        <v>0</v>
      </c>
      <c r="O106">
        <v>0</v>
      </c>
      <c r="P106">
        <v>879</v>
      </c>
      <c r="Q106">
        <v>0</v>
      </c>
      <c r="R106">
        <f>SUM(Table10[[#This Row],[FOUR WHEELER (INVALID CARRIAGE)]:[TWO WHEELER(T)]])</f>
        <v>912</v>
      </c>
    </row>
    <row r="107" spans="1:18" x14ac:dyDescent="0.3">
      <c r="A107" s="1">
        <v>39934</v>
      </c>
      <c r="B107">
        <v>0</v>
      </c>
      <c r="C107">
        <v>0</v>
      </c>
      <c r="D107">
        <v>0</v>
      </c>
      <c r="E107">
        <v>0</v>
      </c>
      <c r="F107">
        <v>2</v>
      </c>
      <c r="G107">
        <v>23</v>
      </c>
      <c r="H107">
        <v>0</v>
      </c>
      <c r="I107">
        <v>0</v>
      </c>
      <c r="J107">
        <v>0</v>
      </c>
      <c r="K107">
        <v>0</v>
      </c>
      <c r="L107">
        <v>0</v>
      </c>
      <c r="M107">
        <v>0</v>
      </c>
      <c r="N107">
        <v>0</v>
      </c>
      <c r="O107">
        <v>2</v>
      </c>
      <c r="P107">
        <v>514</v>
      </c>
      <c r="Q107">
        <v>0</v>
      </c>
      <c r="R107">
        <f>SUM(Table10[[#This Row],[FOUR WHEELER (INVALID CARRIAGE)]:[TWO WHEELER(T)]])</f>
        <v>541</v>
      </c>
    </row>
    <row r="108" spans="1:18" x14ac:dyDescent="0.3">
      <c r="A108" s="1">
        <v>40299</v>
      </c>
      <c r="B108">
        <v>0</v>
      </c>
      <c r="C108">
        <v>3</v>
      </c>
      <c r="D108">
        <v>0</v>
      </c>
      <c r="E108">
        <v>0</v>
      </c>
      <c r="F108">
        <v>10</v>
      </c>
      <c r="G108">
        <v>19</v>
      </c>
      <c r="H108">
        <v>1</v>
      </c>
      <c r="I108">
        <v>0</v>
      </c>
      <c r="J108">
        <v>0</v>
      </c>
      <c r="K108">
        <v>0</v>
      </c>
      <c r="L108">
        <v>1</v>
      </c>
      <c r="M108">
        <v>0</v>
      </c>
      <c r="N108">
        <v>0</v>
      </c>
      <c r="O108">
        <v>2</v>
      </c>
      <c r="P108">
        <v>302</v>
      </c>
      <c r="Q108">
        <v>0</v>
      </c>
      <c r="R108">
        <f>SUM(Table10[[#This Row],[FOUR WHEELER (INVALID CARRIAGE)]:[TWO WHEELER(T)]])</f>
        <v>338</v>
      </c>
    </row>
    <row r="109" spans="1:18" x14ac:dyDescent="0.3">
      <c r="A109" s="1">
        <v>41030</v>
      </c>
      <c r="B109">
        <v>0</v>
      </c>
      <c r="C109">
        <v>2</v>
      </c>
      <c r="D109">
        <v>0</v>
      </c>
      <c r="E109">
        <v>0</v>
      </c>
      <c r="F109">
        <v>8</v>
      </c>
      <c r="G109">
        <v>28</v>
      </c>
      <c r="H109">
        <v>2</v>
      </c>
      <c r="I109">
        <v>0</v>
      </c>
      <c r="J109">
        <v>0</v>
      </c>
      <c r="K109">
        <v>0</v>
      </c>
      <c r="L109">
        <v>0</v>
      </c>
      <c r="M109">
        <v>0</v>
      </c>
      <c r="N109">
        <v>0</v>
      </c>
      <c r="O109">
        <v>1</v>
      </c>
      <c r="P109">
        <v>380</v>
      </c>
      <c r="Q109">
        <v>0</v>
      </c>
      <c r="R109">
        <f>SUM(Table10[[#This Row],[FOUR WHEELER (INVALID CARRIAGE)]:[TWO WHEELER(T)]])</f>
        <v>421</v>
      </c>
    </row>
    <row r="110" spans="1:18" x14ac:dyDescent="0.3">
      <c r="A110" s="1">
        <v>41395</v>
      </c>
      <c r="B110">
        <v>0</v>
      </c>
      <c r="C110">
        <v>0</v>
      </c>
      <c r="D110">
        <v>0</v>
      </c>
      <c r="E110">
        <v>0</v>
      </c>
      <c r="F110">
        <v>4</v>
      </c>
      <c r="G110">
        <v>63</v>
      </c>
      <c r="H110">
        <v>2</v>
      </c>
      <c r="I110">
        <v>0</v>
      </c>
      <c r="J110">
        <v>0</v>
      </c>
      <c r="K110">
        <v>1</v>
      </c>
      <c r="L110">
        <v>0</v>
      </c>
      <c r="M110">
        <v>0</v>
      </c>
      <c r="N110">
        <v>0</v>
      </c>
      <c r="O110">
        <v>2</v>
      </c>
      <c r="P110">
        <v>154</v>
      </c>
      <c r="Q110">
        <v>0</v>
      </c>
      <c r="R110">
        <f>SUM(Table10[[#This Row],[FOUR WHEELER (INVALID CARRIAGE)]:[TWO WHEELER(T)]])</f>
        <v>226</v>
      </c>
    </row>
    <row r="111" spans="1:18" x14ac:dyDescent="0.3">
      <c r="A111" s="1">
        <v>41760</v>
      </c>
      <c r="B111">
        <v>0</v>
      </c>
      <c r="C111">
        <v>0</v>
      </c>
      <c r="D111">
        <v>0</v>
      </c>
      <c r="E111">
        <v>0</v>
      </c>
      <c r="F111">
        <v>8</v>
      </c>
      <c r="G111">
        <v>49</v>
      </c>
      <c r="H111">
        <v>4</v>
      </c>
      <c r="I111">
        <v>0</v>
      </c>
      <c r="J111">
        <v>0</v>
      </c>
      <c r="K111">
        <v>0</v>
      </c>
      <c r="L111">
        <v>0</v>
      </c>
      <c r="M111">
        <v>0</v>
      </c>
      <c r="N111">
        <v>0</v>
      </c>
      <c r="O111">
        <v>0</v>
      </c>
      <c r="P111">
        <v>124</v>
      </c>
      <c r="Q111">
        <v>0</v>
      </c>
      <c r="R111">
        <f>SUM(Table10[[#This Row],[FOUR WHEELER (INVALID CARRIAGE)]:[TWO WHEELER(T)]])</f>
        <v>185</v>
      </c>
    </row>
    <row r="112" spans="1:18" x14ac:dyDescent="0.3">
      <c r="A112" s="1">
        <v>42125</v>
      </c>
      <c r="B112">
        <v>0</v>
      </c>
      <c r="C112">
        <v>0</v>
      </c>
      <c r="D112">
        <v>1</v>
      </c>
      <c r="E112">
        <v>0</v>
      </c>
      <c r="F112">
        <v>3</v>
      </c>
      <c r="G112">
        <v>59</v>
      </c>
      <c r="H112">
        <v>0</v>
      </c>
      <c r="I112">
        <v>1</v>
      </c>
      <c r="J112">
        <v>1</v>
      </c>
      <c r="K112">
        <v>0</v>
      </c>
      <c r="L112">
        <v>2</v>
      </c>
      <c r="M112">
        <v>0</v>
      </c>
      <c r="N112">
        <v>0</v>
      </c>
      <c r="O112">
        <v>41</v>
      </c>
      <c r="P112">
        <v>85</v>
      </c>
      <c r="Q112">
        <v>0</v>
      </c>
      <c r="R112">
        <f>SUM(Table10[[#This Row],[FOUR WHEELER (INVALID CARRIAGE)]:[TWO WHEELER(T)]])</f>
        <v>193</v>
      </c>
    </row>
    <row r="113" spans="1:18" x14ac:dyDescent="0.3">
      <c r="A113" s="1">
        <v>42491</v>
      </c>
      <c r="B113">
        <v>1</v>
      </c>
      <c r="C113">
        <v>1</v>
      </c>
      <c r="D113">
        <v>0</v>
      </c>
      <c r="E113">
        <v>0</v>
      </c>
      <c r="F113">
        <v>8</v>
      </c>
      <c r="G113">
        <v>46</v>
      </c>
      <c r="H113">
        <v>0</v>
      </c>
      <c r="I113">
        <v>3</v>
      </c>
      <c r="J113">
        <v>0</v>
      </c>
      <c r="K113">
        <v>0</v>
      </c>
      <c r="L113">
        <v>39</v>
      </c>
      <c r="M113">
        <v>0</v>
      </c>
      <c r="N113">
        <v>0</v>
      </c>
      <c r="O113">
        <v>3805</v>
      </c>
      <c r="P113">
        <v>99</v>
      </c>
      <c r="Q113">
        <v>0</v>
      </c>
      <c r="R113">
        <f>SUM(Table10[[#This Row],[FOUR WHEELER (INVALID CARRIAGE)]:[TWO WHEELER(T)]])</f>
        <v>4002</v>
      </c>
    </row>
    <row r="114" spans="1:18" x14ac:dyDescent="0.3">
      <c r="A114" s="1">
        <v>42856</v>
      </c>
      <c r="B114">
        <v>0</v>
      </c>
      <c r="C114">
        <v>0</v>
      </c>
      <c r="D114">
        <v>1</v>
      </c>
      <c r="E114">
        <v>1</v>
      </c>
      <c r="F114">
        <v>53</v>
      </c>
      <c r="G114">
        <v>75</v>
      </c>
      <c r="H114">
        <v>86</v>
      </c>
      <c r="I114">
        <v>0</v>
      </c>
      <c r="J114">
        <v>0</v>
      </c>
      <c r="K114">
        <v>0</v>
      </c>
      <c r="L114">
        <v>30</v>
      </c>
      <c r="M114">
        <v>1</v>
      </c>
      <c r="N114">
        <v>0</v>
      </c>
      <c r="O114">
        <v>6715</v>
      </c>
      <c r="P114">
        <v>91</v>
      </c>
      <c r="Q114">
        <v>0</v>
      </c>
      <c r="R114">
        <f>SUM(Table10[[#This Row],[FOUR WHEELER (INVALID CARRIAGE)]:[TWO WHEELER(T)]])</f>
        <v>7053</v>
      </c>
    </row>
    <row r="115" spans="1:18" x14ac:dyDescent="0.3">
      <c r="A115" s="1">
        <v>43221</v>
      </c>
      <c r="B115">
        <v>0</v>
      </c>
      <c r="C115">
        <v>0</v>
      </c>
      <c r="D115">
        <v>0</v>
      </c>
      <c r="E115">
        <v>1</v>
      </c>
      <c r="F115">
        <v>87</v>
      </c>
      <c r="G115">
        <v>113</v>
      </c>
      <c r="H115">
        <v>64</v>
      </c>
      <c r="I115">
        <v>1</v>
      </c>
      <c r="J115">
        <v>1</v>
      </c>
      <c r="K115">
        <v>0</v>
      </c>
      <c r="L115">
        <v>39</v>
      </c>
      <c r="M115">
        <v>4</v>
      </c>
      <c r="N115">
        <v>0</v>
      </c>
      <c r="O115">
        <v>7273</v>
      </c>
      <c r="P115">
        <v>649</v>
      </c>
      <c r="Q115">
        <v>34</v>
      </c>
      <c r="R115">
        <f>SUM(Table10[[#This Row],[FOUR WHEELER (INVALID CARRIAGE)]:[TWO WHEELER(T)]])</f>
        <v>8266</v>
      </c>
    </row>
    <row r="116" spans="1:18" x14ac:dyDescent="0.3">
      <c r="A116" s="1">
        <v>43586</v>
      </c>
      <c r="B116">
        <v>0</v>
      </c>
      <c r="C116">
        <v>0</v>
      </c>
      <c r="D116">
        <v>0</v>
      </c>
      <c r="E116">
        <v>27</v>
      </c>
      <c r="F116">
        <v>2</v>
      </c>
      <c r="G116">
        <v>47</v>
      </c>
      <c r="H116">
        <v>22</v>
      </c>
      <c r="I116">
        <v>0</v>
      </c>
      <c r="J116">
        <v>27</v>
      </c>
      <c r="K116">
        <v>0</v>
      </c>
      <c r="L116">
        <v>41</v>
      </c>
      <c r="M116">
        <v>2</v>
      </c>
      <c r="N116">
        <v>0</v>
      </c>
      <c r="O116">
        <v>8255</v>
      </c>
      <c r="P116">
        <v>1569</v>
      </c>
      <c r="Q116">
        <v>100</v>
      </c>
      <c r="R116">
        <f>SUM(Table10[[#This Row],[FOUR WHEELER (INVALID CARRIAGE)]:[TWO WHEELER(T)]])</f>
        <v>10092</v>
      </c>
    </row>
    <row r="117" spans="1:18" x14ac:dyDescent="0.3">
      <c r="A117" s="1">
        <v>43952</v>
      </c>
      <c r="B117">
        <v>0</v>
      </c>
      <c r="C117">
        <v>0</v>
      </c>
      <c r="D117">
        <v>0</v>
      </c>
      <c r="E117">
        <v>0</v>
      </c>
      <c r="F117">
        <v>0</v>
      </c>
      <c r="G117">
        <v>62</v>
      </c>
      <c r="H117">
        <v>22</v>
      </c>
      <c r="I117">
        <v>0</v>
      </c>
      <c r="J117">
        <v>0</v>
      </c>
      <c r="K117">
        <v>0</v>
      </c>
      <c r="L117">
        <v>0</v>
      </c>
      <c r="M117">
        <v>1</v>
      </c>
      <c r="N117">
        <v>0</v>
      </c>
      <c r="O117">
        <v>667</v>
      </c>
      <c r="P117">
        <v>558</v>
      </c>
      <c r="Q117">
        <v>0</v>
      </c>
      <c r="R117">
        <f>SUM(Table10[[#This Row],[FOUR WHEELER (INVALID CARRIAGE)]:[TWO WHEELER(T)]])</f>
        <v>1310</v>
      </c>
    </row>
    <row r="118" spans="1:18" x14ac:dyDescent="0.3">
      <c r="A118" s="1">
        <v>44317</v>
      </c>
      <c r="B118">
        <v>1</v>
      </c>
      <c r="C118">
        <v>0</v>
      </c>
      <c r="D118">
        <v>0</v>
      </c>
      <c r="E118">
        <v>11</v>
      </c>
      <c r="F118">
        <v>1</v>
      </c>
      <c r="G118">
        <v>255</v>
      </c>
      <c r="H118">
        <v>1</v>
      </c>
      <c r="I118">
        <v>0</v>
      </c>
      <c r="J118">
        <v>73</v>
      </c>
      <c r="K118">
        <v>0</v>
      </c>
      <c r="L118">
        <v>61</v>
      </c>
      <c r="M118">
        <v>1</v>
      </c>
      <c r="N118">
        <v>0</v>
      </c>
      <c r="O118">
        <v>1950</v>
      </c>
      <c r="P118">
        <v>1251</v>
      </c>
      <c r="Q118">
        <v>0</v>
      </c>
      <c r="R118">
        <f>SUM(Table10[[#This Row],[FOUR WHEELER (INVALID CARRIAGE)]:[TWO WHEELER(T)]])</f>
        <v>3605</v>
      </c>
    </row>
    <row r="119" spans="1:18" x14ac:dyDescent="0.3">
      <c r="A119" s="1">
        <v>44682</v>
      </c>
      <c r="B119">
        <v>3</v>
      </c>
      <c r="C119">
        <v>0</v>
      </c>
      <c r="D119">
        <v>0</v>
      </c>
      <c r="E119">
        <v>165</v>
      </c>
      <c r="F119">
        <v>28</v>
      </c>
      <c r="G119">
        <v>2284</v>
      </c>
      <c r="H119">
        <v>679</v>
      </c>
      <c r="I119">
        <v>0</v>
      </c>
      <c r="J119">
        <v>0</v>
      </c>
      <c r="K119">
        <v>0</v>
      </c>
      <c r="L119">
        <v>214</v>
      </c>
      <c r="M119">
        <v>23</v>
      </c>
      <c r="N119">
        <v>0</v>
      </c>
      <c r="O119">
        <v>24092</v>
      </c>
      <c r="P119">
        <v>42097</v>
      </c>
      <c r="Q119">
        <v>334</v>
      </c>
      <c r="R119">
        <f>SUM(Table10[[#This Row],[FOUR WHEELER (INVALID CARRIAGE)]:[TWO WHEELER(T)]])</f>
        <v>69919</v>
      </c>
    </row>
    <row r="120" spans="1:18" x14ac:dyDescent="0.3">
      <c r="A120" s="1">
        <v>45047</v>
      </c>
      <c r="B120">
        <v>9</v>
      </c>
      <c r="C120">
        <v>3</v>
      </c>
      <c r="D120">
        <v>0</v>
      </c>
      <c r="E120">
        <v>268</v>
      </c>
      <c r="F120">
        <v>168</v>
      </c>
      <c r="G120">
        <v>6840</v>
      </c>
      <c r="H120">
        <v>871</v>
      </c>
      <c r="I120">
        <v>0</v>
      </c>
      <c r="J120">
        <v>12</v>
      </c>
      <c r="K120">
        <v>0</v>
      </c>
      <c r="L120">
        <v>9</v>
      </c>
      <c r="M120">
        <v>6</v>
      </c>
      <c r="N120">
        <v>17</v>
      </c>
      <c r="O120">
        <v>44691</v>
      </c>
      <c r="P120">
        <v>105401</v>
      </c>
      <c r="Q120">
        <v>175</v>
      </c>
      <c r="R120">
        <f>SUM(Table10[[#This Row],[FOUR WHEELER (INVALID CARRIAGE)]:[TWO WHEELER(T)]])</f>
        <v>158470</v>
      </c>
    </row>
    <row r="121" spans="1:18" x14ac:dyDescent="0.3">
      <c r="A121" s="1">
        <v>45413</v>
      </c>
      <c r="B121">
        <v>5</v>
      </c>
      <c r="C121">
        <v>30</v>
      </c>
      <c r="D121">
        <v>0</v>
      </c>
      <c r="E121">
        <v>244</v>
      </c>
      <c r="F121">
        <v>284</v>
      </c>
      <c r="G121">
        <v>6715</v>
      </c>
      <c r="H121">
        <v>126</v>
      </c>
      <c r="I121">
        <v>0</v>
      </c>
      <c r="J121">
        <v>1</v>
      </c>
      <c r="K121">
        <v>20</v>
      </c>
      <c r="L121">
        <v>0</v>
      </c>
      <c r="M121">
        <v>30</v>
      </c>
      <c r="N121">
        <v>2</v>
      </c>
      <c r="O121">
        <v>52296</v>
      </c>
      <c r="P121">
        <v>64025</v>
      </c>
      <c r="Q121">
        <v>90</v>
      </c>
      <c r="R121">
        <f>SUM(Table10[[#This Row],[FOUR WHEELER (INVALID CARRIAGE)]:[TWO WHEELER(T)]])</f>
        <v>123868</v>
      </c>
    </row>
    <row r="122" spans="1:18" x14ac:dyDescent="0.3">
      <c r="A122" s="1">
        <v>37043</v>
      </c>
      <c r="B122">
        <v>0</v>
      </c>
      <c r="C122">
        <v>2</v>
      </c>
      <c r="D122">
        <v>2</v>
      </c>
      <c r="E122">
        <v>0</v>
      </c>
      <c r="F122">
        <v>12</v>
      </c>
      <c r="G122">
        <v>39</v>
      </c>
      <c r="H122">
        <v>0</v>
      </c>
      <c r="I122">
        <v>0</v>
      </c>
      <c r="J122">
        <v>0</v>
      </c>
      <c r="K122">
        <v>1</v>
      </c>
      <c r="L122">
        <v>0</v>
      </c>
      <c r="M122">
        <v>1</v>
      </c>
      <c r="N122">
        <v>0</v>
      </c>
      <c r="O122">
        <v>4</v>
      </c>
      <c r="P122">
        <v>131</v>
      </c>
      <c r="Q122">
        <v>0</v>
      </c>
      <c r="R122">
        <f>SUM(Table10[[#This Row],[FOUR WHEELER (INVALID CARRIAGE)]:[TWO WHEELER(T)]])</f>
        <v>192</v>
      </c>
    </row>
    <row r="123" spans="1:18" x14ac:dyDescent="0.3">
      <c r="A123" s="1">
        <v>37408</v>
      </c>
      <c r="B123">
        <v>0</v>
      </c>
      <c r="C123">
        <v>0</v>
      </c>
      <c r="D123">
        <v>0</v>
      </c>
      <c r="E123">
        <v>0</v>
      </c>
      <c r="F123">
        <v>33</v>
      </c>
      <c r="G123">
        <v>21</v>
      </c>
      <c r="H123">
        <v>4</v>
      </c>
      <c r="I123">
        <v>0</v>
      </c>
      <c r="J123">
        <v>0</v>
      </c>
      <c r="K123">
        <v>0</v>
      </c>
      <c r="L123">
        <v>2</v>
      </c>
      <c r="M123">
        <v>0</v>
      </c>
      <c r="N123">
        <v>0</v>
      </c>
      <c r="O123">
        <v>4</v>
      </c>
      <c r="P123">
        <v>15</v>
      </c>
      <c r="Q123">
        <v>0</v>
      </c>
      <c r="R123">
        <f>SUM(Table10[[#This Row],[FOUR WHEELER (INVALID CARRIAGE)]:[TWO WHEELER(T)]])</f>
        <v>79</v>
      </c>
    </row>
    <row r="124" spans="1:18" x14ac:dyDescent="0.3">
      <c r="A124" s="1">
        <v>37773</v>
      </c>
      <c r="B124">
        <v>0</v>
      </c>
      <c r="C124">
        <v>0</v>
      </c>
      <c r="D124">
        <v>0</v>
      </c>
      <c r="E124">
        <v>0</v>
      </c>
      <c r="F124">
        <v>37</v>
      </c>
      <c r="G124">
        <v>26</v>
      </c>
      <c r="H124">
        <v>0</v>
      </c>
      <c r="I124">
        <v>0</v>
      </c>
      <c r="J124">
        <v>0</v>
      </c>
      <c r="K124">
        <v>0</v>
      </c>
      <c r="L124">
        <v>0</v>
      </c>
      <c r="M124">
        <v>0</v>
      </c>
      <c r="N124">
        <v>0</v>
      </c>
      <c r="O124">
        <v>3</v>
      </c>
      <c r="P124">
        <v>8</v>
      </c>
      <c r="Q124">
        <v>0</v>
      </c>
      <c r="R124">
        <f>SUM(Table10[[#This Row],[FOUR WHEELER (INVALID CARRIAGE)]:[TWO WHEELER(T)]])</f>
        <v>74</v>
      </c>
    </row>
    <row r="125" spans="1:18" x14ac:dyDescent="0.3">
      <c r="A125" s="1">
        <v>38139</v>
      </c>
      <c r="B125">
        <v>0</v>
      </c>
      <c r="C125">
        <v>1</v>
      </c>
      <c r="D125">
        <v>1</v>
      </c>
      <c r="E125">
        <v>0</v>
      </c>
      <c r="F125">
        <v>6</v>
      </c>
      <c r="G125">
        <v>15</v>
      </c>
      <c r="H125">
        <v>4</v>
      </c>
      <c r="I125">
        <v>0</v>
      </c>
      <c r="J125">
        <v>0</v>
      </c>
      <c r="K125">
        <v>0</v>
      </c>
      <c r="L125">
        <v>0</v>
      </c>
      <c r="M125">
        <v>0</v>
      </c>
      <c r="N125">
        <v>0</v>
      </c>
      <c r="O125">
        <v>1</v>
      </c>
      <c r="P125">
        <v>15</v>
      </c>
      <c r="Q125">
        <v>0</v>
      </c>
      <c r="R125">
        <f>SUM(Table10[[#This Row],[FOUR WHEELER (INVALID CARRIAGE)]:[TWO WHEELER(T)]])</f>
        <v>43</v>
      </c>
    </row>
    <row r="126" spans="1:18" x14ac:dyDescent="0.3">
      <c r="A126" s="1">
        <v>38504</v>
      </c>
      <c r="B126">
        <v>0</v>
      </c>
      <c r="C126">
        <v>1</v>
      </c>
      <c r="D126">
        <v>2</v>
      </c>
      <c r="E126">
        <v>0</v>
      </c>
      <c r="F126">
        <v>8</v>
      </c>
      <c r="G126">
        <v>9</v>
      </c>
      <c r="H126">
        <v>0</v>
      </c>
      <c r="I126">
        <v>0</v>
      </c>
      <c r="J126">
        <v>0</v>
      </c>
      <c r="K126">
        <v>0</v>
      </c>
      <c r="L126">
        <v>1</v>
      </c>
      <c r="M126">
        <v>0</v>
      </c>
      <c r="N126">
        <v>0</v>
      </c>
      <c r="O126">
        <v>1</v>
      </c>
      <c r="P126">
        <v>94</v>
      </c>
      <c r="Q126">
        <v>0</v>
      </c>
      <c r="R126">
        <f>SUM(Table10[[#This Row],[FOUR WHEELER (INVALID CARRIAGE)]:[TWO WHEELER(T)]])</f>
        <v>116</v>
      </c>
    </row>
    <row r="127" spans="1:18" x14ac:dyDescent="0.3">
      <c r="A127" s="1">
        <v>38869</v>
      </c>
      <c r="B127">
        <v>0</v>
      </c>
      <c r="C127">
        <v>2</v>
      </c>
      <c r="D127">
        <v>2</v>
      </c>
      <c r="E127">
        <v>0</v>
      </c>
      <c r="F127">
        <v>12</v>
      </c>
      <c r="G127">
        <v>39</v>
      </c>
      <c r="H127">
        <v>0</v>
      </c>
      <c r="I127">
        <v>0</v>
      </c>
      <c r="J127">
        <v>0</v>
      </c>
      <c r="K127">
        <v>1</v>
      </c>
      <c r="L127">
        <v>0</v>
      </c>
      <c r="M127">
        <v>1</v>
      </c>
      <c r="N127">
        <v>0</v>
      </c>
      <c r="O127">
        <v>4</v>
      </c>
      <c r="P127">
        <v>131</v>
      </c>
      <c r="Q127">
        <v>0</v>
      </c>
      <c r="R127">
        <f>SUM(Table10[[#This Row],[FOUR WHEELER (INVALID CARRIAGE)]:[TWO WHEELER(T)]])</f>
        <v>192</v>
      </c>
    </row>
    <row r="128" spans="1:18" x14ac:dyDescent="0.3">
      <c r="A128" s="1">
        <v>39234</v>
      </c>
      <c r="B128">
        <v>0</v>
      </c>
      <c r="C128">
        <v>0</v>
      </c>
      <c r="D128">
        <v>2</v>
      </c>
      <c r="E128">
        <v>0</v>
      </c>
      <c r="F128">
        <v>5</v>
      </c>
      <c r="G128">
        <v>11</v>
      </c>
      <c r="H128">
        <v>5</v>
      </c>
      <c r="I128">
        <v>0</v>
      </c>
      <c r="J128">
        <v>0</v>
      </c>
      <c r="K128">
        <v>1</v>
      </c>
      <c r="L128">
        <v>0</v>
      </c>
      <c r="M128">
        <v>0</v>
      </c>
      <c r="N128">
        <v>0</v>
      </c>
      <c r="O128">
        <v>3</v>
      </c>
      <c r="P128">
        <v>165</v>
      </c>
      <c r="Q128">
        <v>0</v>
      </c>
      <c r="R128">
        <f>SUM(Table10[[#This Row],[FOUR WHEELER (INVALID CARRIAGE)]:[TWO WHEELER(T)]])</f>
        <v>192</v>
      </c>
    </row>
    <row r="129" spans="1:18" x14ac:dyDescent="0.3">
      <c r="A129" s="1">
        <v>39600</v>
      </c>
      <c r="B129">
        <v>0</v>
      </c>
      <c r="C129">
        <v>1</v>
      </c>
      <c r="D129">
        <v>0</v>
      </c>
      <c r="E129">
        <v>0</v>
      </c>
      <c r="F129">
        <v>3</v>
      </c>
      <c r="G129">
        <v>52</v>
      </c>
      <c r="H129">
        <v>2</v>
      </c>
      <c r="I129">
        <v>0</v>
      </c>
      <c r="J129">
        <v>0</v>
      </c>
      <c r="K129">
        <v>0</v>
      </c>
      <c r="L129">
        <v>0</v>
      </c>
      <c r="M129">
        <v>0</v>
      </c>
      <c r="N129">
        <v>0</v>
      </c>
      <c r="O129">
        <v>1</v>
      </c>
      <c r="P129">
        <v>1172</v>
      </c>
      <c r="Q129">
        <v>0</v>
      </c>
      <c r="R129">
        <f>SUM(Table10[[#This Row],[FOUR WHEELER (INVALID CARRIAGE)]:[TWO WHEELER(T)]])</f>
        <v>1231</v>
      </c>
    </row>
    <row r="130" spans="1:18" x14ac:dyDescent="0.3">
      <c r="A130" s="1">
        <v>39965</v>
      </c>
      <c r="B130">
        <v>0</v>
      </c>
      <c r="C130">
        <v>1</v>
      </c>
      <c r="D130">
        <v>0</v>
      </c>
      <c r="E130">
        <v>0</v>
      </c>
      <c r="F130">
        <v>1</v>
      </c>
      <c r="G130">
        <v>23</v>
      </c>
      <c r="H130">
        <v>0</v>
      </c>
      <c r="I130">
        <v>0</v>
      </c>
      <c r="J130">
        <v>0</v>
      </c>
      <c r="K130">
        <v>0</v>
      </c>
      <c r="L130">
        <v>0</v>
      </c>
      <c r="M130">
        <v>1</v>
      </c>
      <c r="N130">
        <v>0</v>
      </c>
      <c r="O130">
        <v>4</v>
      </c>
      <c r="P130">
        <v>493</v>
      </c>
      <c r="Q130">
        <v>0</v>
      </c>
      <c r="R130">
        <f>SUM(Table10[[#This Row],[FOUR WHEELER (INVALID CARRIAGE)]:[TWO WHEELER(T)]])</f>
        <v>523</v>
      </c>
    </row>
    <row r="131" spans="1:18" x14ac:dyDescent="0.3">
      <c r="A131" s="1">
        <v>40330</v>
      </c>
      <c r="B131">
        <v>0</v>
      </c>
      <c r="C131">
        <v>0</v>
      </c>
      <c r="D131">
        <v>0</v>
      </c>
      <c r="E131">
        <v>0</v>
      </c>
      <c r="F131">
        <v>5</v>
      </c>
      <c r="G131">
        <v>42</v>
      </c>
      <c r="H131">
        <v>0</v>
      </c>
      <c r="I131">
        <v>0</v>
      </c>
      <c r="J131">
        <v>0</v>
      </c>
      <c r="K131">
        <v>1</v>
      </c>
      <c r="L131">
        <v>0</v>
      </c>
      <c r="M131">
        <v>0</v>
      </c>
      <c r="N131">
        <v>0</v>
      </c>
      <c r="O131">
        <v>0</v>
      </c>
      <c r="P131">
        <v>369</v>
      </c>
      <c r="Q131">
        <v>0</v>
      </c>
      <c r="R131">
        <f>SUM(Table10[[#This Row],[FOUR WHEELER (INVALID CARRIAGE)]:[TWO WHEELER(T)]])</f>
        <v>417</v>
      </c>
    </row>
    <row r="132" spans="1:18" x14ac:dyDescent="0.3">
      <c r="A132" s="1">
        <v>40695</v>
      </c>
      <c r="B132">
        <v>0</v>
      </c>
      <c r="C132">
        <v>0</v>
      </c>
      <c r="D132">
        <v>0</v>
      </c>
      <c r="E132">
        <v>0</v>
      </c>
      <c r="F132">
        <v>8</v>
      </c>
      <c r="G132">
        <v>74</v>
      </c>
      <c r="H132">
        <v>1</v>
      </c>
      <c r="I132">
        <v>0</v>
      </c>
      <c r="J132">
        <v>0</v>
      </c>
      <c r="K132">
        <v>0</v>
      </c>
      <c r="L132">
        <v>0</v>
      </c>
      <c r="M132">
        <v>0</v>
      </c>
      <c r="N132">
        <v>0</v>
      </c>
      <c r="O132">
        <v>2</v>
      </c>
      <c r="P132">
        <v>453</v>
      </c>
      <c r="Q132">
        <v>0</v>
      </c>
      <c r="R132">
        <f>SUM(Table10[[#This Row],[FOUR WHEELER (INVALID CARRIAGE)]:[TWO WHEELER(T)]])</f>
        <v>538</v>
      </c>
    </row>
    <row r="133" spans="1:18" x14ac:dyDescent="0.3">
      <c r="A133" s="1">
        <v>41061</v>
      </c>
      <c r="B133">
        <v>0</v>
      </c>
      <c r="C133">
        <v>1</v>
      </c>
      <c r="D133">
        <v>1</v>
      </c>
      <c r="E133">
        <v>0</v>
      </c>
      <c r="F133">
        <v>6</v>
      </c>
      <c r="G133">
        <v>48</v>
      </c>
      <c r="H133">
        <v>2</v>
      </c>
      <c r="I133">
        <v>1</v>
      </c>
      <c r="J133">
        <v>0</v>
      </c>
      <c r="K133">
        <v>0</v>
      </c>
      <c r="L133">
        <v>1</v>
      </c>
      <c r="M133">
        <v>0</v>
      </c>
      <c r="N133">
        <v>1</v>
      </c>
      <c r="O133">
        <v>3</v>
      </c>
      <c r="P133">
        <v>434</v>
      </c>
      <c r="Q133">
        <v>0</v>
      </c>
      <c r="R133">
        <f>SUM(Table10[[#This Row],[FOUR WHEELER (INVALID CARRIAGE)]:[TWO WHEELER(T)]])</f>
        <v>498</v>
      </c>
    </row>
    <row r="134" spans="1:18" x14ac:dyDescent="0.3">
      <c r="A134" s="1">
        <v>41426</v>
      </c>
      <c r="B134">
        <v>0</v>
      </c>
      <c r="C134">
        <v>0</v>
      </c>
      <c r="D134">
        <v>0</v>
      </c>
      <c r="E134">
        <v>0</v>
      </c>
      <c r="F134">
        <v>6</v>
      </c>
      <c r="G134">
        <v>53</v>
      </c>
      <c r="H134">
        <v>0</v>
      </c>
      <c r="I134">
        <v>0</v>
      </c>
      <c r="J134">
        <v>0</v>
      </c>
      <c r="K134">
        <v>0</v>
      </c>
      <c r="L134">
        <v>0</v>
      </c>
      <c r="M134">
        <v>1</v>
      </c>
      <c r="N134">
        <v>0</v>
      </c>
      <c r="O134">
        <v>4</v>
      </c>
      <c r="P134">
        <v>147</v>
      </c>
      <c r="Q134">
        <v>0</v>
      </c>
      <c r="R134">
        <f>SUM(Table10[[#This Row],[FOUR WHEELER (INVALID CARRIAGE)]:[TWO WHEELER(T)]])</f>
        <v>211</v>
      </c>
    </row>
    <row r="135" spans="1:18" x14ac:dyDescent="0.3">
      <c r="A135" s="1">
        <v>41791</v>
      </c>
      <c r="B135">
        <v>0</v>
      </c>
      <c r="C135">
        <v>0</v>
      </c>
      <c r="D135">
        <v>0</v>
      </c>
      <c r="E135">
        <v>0</v>
      </c>
      <c r="F135">
        <v>9</v>
      </c>
      <c r="G135">
        <v>25</v>
      </c>
      <c r="H135">
        <v>0</v>
      </c>
      <c r="I135">
        <v>0</v>
      </c>
      <c r="J135">
        <v>0</v>
      </c>
      <c r="K135">
        <v>0</v>
      </c>
      <c r="L135">
        <v>1</v>
      </c>
      <c r="M135">
        <v>0</v>
      </c>
      <c r="N135">
        <v>0</v>
      </c>
      <c r="O135">
        <v>1</v>
      </c>
      <c r="P135">
        <v>108</v>
      </c>
      <c r="Q135">
        <v>0</v>
      </c>
      <c r="R135">
        <f>SUM(Table10[[#This Row],[FOUR WHEELER (INVALID CARRIAGE)]:[TWO WHEELER(T)]])</f>
        <v>144</v>
      </c>
    </row>
    <row r="136" spans="1:18" x14ac:dyDescent="0.3">
      <c r="A136" s="1">
        <v>42156</v>
      </c>
      <c r="B136">
        <v>1</v>
      </c>
      <c r="C136">
        <v>1</v>
      </c>
      <c r="D136">
        <v>0</v>
      </c>
      <c r="E136">
        <v>0</v>
      </c>
      <c r="F136">
        <v>3</v>
      </c>
      <c r="G136">
        <v>70</v>
      </c>
      <c r="H136">
        <v>10</v>
      </c>
      <c r="I136">
        <v>0</v>
      </c>
      <c r="J136">
        <v>0</v>
      </c>
      <c r="K136">
        <v>0</v>
      </c>
      <c r="L136">
        <v>0</v>
      </c>
      <c r="M136">
        <v>0</v>
      </c>
      <c r="N136">
        <v>0</v>
      </c>
      <c r="O136">
        <v>46</v>
      </c>
      <c r="P136">
        <v>157</v>
      </c>
      <c r="Q136">
        <v>0</v>
      </c>
      <c r="R136">
        <f>SUM(Table10[[#This Row],[FOUR WHEELER (INVALID CARRIAGE)]:[TWO WHEELER(T)]])</f>
        <v>288</v>
      </c>
    </row>
    <row r="137" spans="1:18" x14ac:dyDescent="0.3">
      <c r="A137" s="1">
        <v>42522</v>
      </c>
      <c r="B137">
        <v>0</v>
      </c>
      <c r="C137">
        <v>0</v>
      </c>
      <c r="D137">
        <v>0</v>
      </c>
      <c r="E137">
        <v>0</v>
      </c>
      <c r="F137">
        <v>8</v>
      </c>
      <c r="G137">
        <v>47</v>
      </c>
      <c r="H137">
        <v>1</v>
      </c>
      <c r="I137">
        <v>0</v>
      </c>
      <c r="J137">
        <v>0</v>
      </c>
      <c r="K137">
        <v>0</v>
      </c>
      <c r="L137">
        <v>17</v>
      </c>
      <c r="M137">
        <v>0</v>
      </c>
      <c r="N137">
        <v>0</v>
      </c>
      <c r="O137">
        <v>4896</v>
      </c>
      <c r="P137">
        <v>147</v>
      </c>
      <c r="Q137">
        <v>0</v>
      </c>
      <c r="R137">
        <f>SUM(Table10[[#This Row],[FOUR WHEELER (INVALID CARRIAGE)]:[TWO WHEELER(T)]])</f>
        <v>5116</v>
      </c>
    </row>
    <row r="138" spans="1:18" x14ac:dyDescent="0.3">
      <c r="A138" s="1">
        <v>42887</v>
      </c>
      <c r="B138">
        <v>0</v>
      </c>
      <c r="C138">
        <v>0</v>
      </c>
      <c r="D138">
        <v>0</v>
      </c>
      <c r="E138">
        <v>0</v>
      </c>
      <c r="F138">
        <v>68</v>
      </c>
      <c r="G138">
        <v>80</v>
      </c>
      <c r="H138">
        <v>1</v>
      </c>
      <c r="I138">
        <v>0</v>
      </c>
      <c r="J138">
        <v>1</v>
      </c>
      <c r="K138">
        <v>0</v>
      </c>
      <c r="L138">
        <v>45</v>
      </c>
      <c r="M138">
        <v>2</v>
      </c>
      <c r="N138">
        <v>0</v>
      </c>
      <c r="O138">
        <v>7175</v>
      </c>
      <c r="P138">
        <v>136</v>
      </c>
      <c r="Q138">
        <v>0</v>
      </c>
      <c r="R138">
        <f>SUM(Table10[[#This Row],[FOUR WHEELER (INVALID CARRIAGE)]:[TWO WHEELER(T)]])</f>
        <v>7508</v>
      </c>
    </row>
    <row r="139" spans="1:18" x14ac:dyDescent="0.3">
      <c r="A139" s="1">
        <v>43252</v>
      </c>
      <c r="B139">
        <v>0</v>
      </c>
      <c r="C139">
        <v>0</v>
      </c>
      <c r="D139">
        <v>0</v>
      </c>
      <c r="E139">
        <v>1</v>
      </c>
      <c r="F139">
        <v>78</v>
      </c>
      <c r="G139">
        <v>123</v>
      </c>
      <c r="H139">
        <v>87</v>
      </c>
      <c r="I139">
        <v>0</v>
      </c>
      <c r="J139">
        <v>0</v>
      </c>
      <c r="K139">
        <v>0</v>
      </c>
      <c r="L139">
        <v>31</v>
      </c>
      <c r="M139">
        <v>23</v>
      </c>
      <c r="N139">
        <v>0</v>
      </c>
      <c r="O139">
        <v>7531</v>
      </c>
      <c r="P139">
        <v>954</v>
      </c>
      <c r="Q139">
        <v>0</v>
      </c>
      <c r="R139">
        <f>SUM(Table10[[#This Row],[FOUR WHEELER (INVALID CARRIAGE)]:[TWO WHEELER(T)]])</f>
        <v>8828</v>
      </c>
    </row>
    <row r="140" spans="1:18" x14ac:dyDescent="0.3">
      <c r="A140" s="1">
        <v>43617</v>
      </c>
      <c r="B140">
        <v>0</v>
      </c>
      <c r="C140">
        <v>0</v>
      </c>
      <c r="D140">
        <v>0</v>
      </c>
      <c r="E140">
        <v>15</v>
      </c>
      <c r="F140">
        <v>3</v>
      </c>
      <c r="G140">
        <v>33</v>
      </c>
      <c r="H140">
        <v>24</v>
      </c>
      <c r="I140">
        <v>0</v>
      </c>
      <c r="J140">
        <v>15</v>
      </c>
      <c r="K140">
        <v>0</v>
      </c>
      <c r="L140">
        <v>127</v>
      </c>
      <c r="M140">
        <v>6</v>
      </c>
      <c r="N140">
        <v>0</v>
      </c>
      <c r="O140">
        <v>9180</v>
      </c>
      <c r="P140">
        <v>1656</v>
      </c>
      <c r="Q140">
        <v>102</v>
      </c>
      <c r="R140">
        <f>SUM(Table10[[#This Row],[FOUR WHEELER (INVALID CARRIAGE)]:[TWO WHEELER(T)]])</f>
        <v>11161</v>
      </c>
    </row>
    <row r="141" spans="1:18" x14ac:dyDescent="0.3">
      <c r="A141" s="1">
        <v>43983</v>
      </c>
      <c r="B141">
        <v>0</v>
      </c>
      <c r="C141">
        <v>0</v>
      </c>
      <c r="D141">
        <v>0</v>
      </c>
      <c r="E141">
        <v>0</v>
      </c>
      <c r="F141">
        <v>0</v>
      </c>
      <c r="G141">
        <v>241</v>
      </c>
      <c r="H141">
        <v>55</v>
      </c>
      <c r="I141">
        <v>0</v>
      </c>
      <c r="J141">
        <v>0</v>
      </c>
      <c r="K141">
        <v>0</v>
      </c>
      <c r="L141">
        <v>16</v>
      </c>
      <c r="M141">
        <v>8</v>
      </c>
      <c r="N141">
        <v>0</v>
      </c>
      <c r="O141">
        <v>4656</v>
      </c>
      <c r="P141">
        <v>1478</v>
      </c>
      <c r="Q141">
        <v>35</v>
      </c>
      <c r="R141">
        <f>SUM(Table10[[#This Row],[FOUR WHEELER (INVALID CARRIAGE)]:[TWO WHEELER(T)]])</f>
        <v>6489</v>
      </c>
    </row>
    <row r="142" spans="1:18" x14ac:dyDescent="0.3">
      <c r="A142" s="1">
        <v>44348</v>
      </c>
      <c r="B142">
        <v>0</v>
      </c>
      <c r="C142">
        <v>0</v>
      </c>
      <c r="D142">
        <v>0</v>
      </c>
      <c r="E142">
        <v>41</v>
      </c>
      <c r="F142">
        <v>217</v>
      </c>
      <c r="G142">
        <v>800</v>
      </c>
      <c r="H142">
        <v>18</v>
      </c>
      <c r="I142">
        <v>0</v>
      </c>
      <c r="J142">
        <v>29</v>
      </c>
      <c r="K142">
        <v>0</v>
      </c>
      <c r="L142">
        <v>197</v>
      </c>
      <c r="M142">
        <v>1</v>
      </c>
      <c r="N142">
        <v>0</v>
      </c>
      <c r="O142">
        <v>6345</v>
      </c>
      <c r="P142">
        <v>4684</v>
      </c>
      <c r="Q142">
        <v>0</v>
      </c>
      <c r="R142">
        <f>SUM(Table10[[#This Row],[FOUR WHEELER (INVALID CARRIAGE)]:[TWO WHEELER(T)]])</f>
        <v>12332</v>
      </c>
    </row>
    <row r="143" spans="1:18" x14ac:dyDescent="0.3">
      <c r="A143" s="1">
        <v>44713</v>
      </c>
      <c r="B143">
        <v>1</v>
      </c>
      <c r="C143">
        <v>0</v>
      </c>
      <c r="D143">
        <v>0</v>
      </c>
      <c r="E143">
        <v>145</v>
      </c>
      <c r="F143">
        <v>50</v>
      </c>
      <c r="G143">
        <v>2938</v>
      </c>
      <c r="H143">
        <v>276</v>
      </c>
      <c r="I143">
        <v>0</v>
      </c>
      <c r="J143">
        <v>0</v>
      </c>
      <c r="K143">
        <v>0</v>
      </c>
      <c r="L143">
        <v>192</v>
      </c>
      <c r="M143">
        <v>40</v>
      </c>
      <c r="N143">
        <v>2</v>
      </c>
      <c r="O143">
        <v>27830</v>
      </c>
      <c r="P143">
        <v>43944</v>
      </c>
      <c r="Q143">
        <v>463</v>
      </c>
      <c r="R143">
        <f>SUM(Table10[[#This Row],[FOUR WHEELER (INVALID CARRIAGE)]:[TWO WHEELER(T)]])</f>
        <v>75881</v>
      </c>
    </row>
    <row r="144" spans="1:18" x14ac:dyDescent="0.3">
      <c r="A144" s="1">
        <v>45078</v>
      </c>
      <c r="B144">
        <v>5</v>
      </c>
      <c r="C144">
        <v>2</v>
      </c>
      <c r="D144">
        <v>0</v>
      </c>
      <c r="E144">
        <v>204</v>
      </c>
      <c r="F144">
        <v>195</v>
      </c>
      <c r="G144">
        <v>6960</v>
      </c>
      <c r="H144">
        <v>1010</v>
      </c>
      <c r="I144">
        <v>0</v>
      </c>
      <c r="J144">
        <v>0</v>
      </c>
      <c r="K144">
        <v>0</v>
      </c>
      <c r="L144">
        <v>8</v>
      </c>
      <c r="M144">
        <v>23</v>
      </c>
      <c r="N144">
        <v>0</v>
      </c>
      <c r="O144">
        <v>48131</v>
      </c>
      <c r="P144">
        <v>46102</v>
      </c>
      <c r="Q144">
        <v>6</v>
      </c>
      <c r="R144">
        <f>SUM(Table10[[#This Row],[FOUR WHEELER (INVALID CARRIAGE)]:[TWO WHEELER(T)]])</f>
        <v>102646</v>
      </c>
    </row>
    <row r="145" spans="1:18" x14ac:dyDescent="0.3">
      <c r="A145" s="1">
        <v>45444</v>
      </c>
      <c r="B145">
        <v>2</v>
      </c>
      <c r="C145">
        <v>3</v>
      </c>
      <c r="D145">
        <v>0</v>
      </c>
      <c r="E145">
        <v>129</v>
      </c>
      <c r="F145">
        <v>375</v>
      </c>
      <c r="G145">
        <v>5833</v>
      </c>
      <c r="H145">
        <v>357</v>
      </c>
      <c r="I145">
        <v>0</v>
      </c>
      <c r="J145">
        <v>0</v>
      </c>
      <c r="K145">
        <v>0</v>
      </c>
      <c r="L145">
        <v>0</v>
      </c>
      <c r="M145">
        <v>29</v>
      </c>
      <c r="N145">
        <v>2</v>
      </c>
      <c r="O145">
        <v>49158</v>
      </c>
      <c r="P145">
        <v>53299</v>
      </c>
      <c r="Q145">
        <v>115</v>
      </c>
      <c r="R145">
        <f>SUM(Table10[[#This Row],[FOUR WHEELER (INVALID CARRIAGE)]:[TWO WHEELER(T)]])</f>
        <v>109302</v>
      </c>
    </row>
    <row r="146" spans="1:18" x14ac:dyDescent="0.3">
      <c r="A146" s="1">
        <v>37073</v>
      </c>
      <c r="B146">
        <v>0</v>
      </c>
      <c r="C146">
        <v>2</v>
      </c>
      <c r="D146">
        <v>0</v>
      </c>
      <c r="E146">
        <v>0</v>
      </c>
      <c r="F146">
        <v>9</v>
      </c>
      <c r="G146">
        <v>30</v>
      </c>
      <c r="H146">
        <v>1</v>
      </c>
      <c r="I146">
        <v>0</v>
      </c>
      <c r="J146">
        <v>0</v>
      </c>
      <c r="K146">
        <v>1</v>
      </c>
      <c r="L146">
        <v>1</v>
      </c>
      <c r="M146">
        <v>0</v>
      </c>
      <c r="N146">
        <v>0</v>
      </c>
      <c r="O146">
        <v>2</v>
      </c>
      <c r="P146">
        <v>117</v>
      </c>
      <c r="Q146">
        <v>0</v>
      </c>
      <c r="R146">
        <f>SUM(Table10[[#This Row],[FOUR WHEELER (INVALID CARRIAGE)]:[TWO WHEELER(T)]])</f>
        <v>163</v>
      </c>
    </row>
    <row r="147" spans="1:18" x14ac:dyDescent="0.3">
      <c r="A147" s="1">
        <v>37438</v>
      </c>
      <c r="B147">
        <v>0</v>
      </c>
      <c r="C147">
        <v>0</v>
      </c>
      <c r="D147">
        <v>0</v>
      </c>
      <c r="E147">
        <v>0</v>
      </c>
      <c r="F147">
        <v>26</v>
      </c>
      <c r="G147">
        <v>19</v>
      </c>
      <c r="H147">
        <v>0</v>
      </c>
      <c r="I147">
        <v>0</v>
      </c>
      <c r="J147">
        <v>0</v>
      </c>
      <c r="K147">
        <v>0</v>
      </c>
      <c r="L147">
        <v>0</v>
      </c>
      <c r="M147">
        <v>0</v>
      </c>
      <c r="N147">
        <v>0</v>
      </c>
      <c r="O147">
        <v>3</v>
      </c>
      <c r="P147">
        <v>19</v>
      </c>
      <c r="Q147">
        <v>0</v>
      </c>
      <c r="R147">
        <f>SUM(Table10[[#This Row],[FOUR WHEELER (INVALID CARRIAGE)]:[TWO WHEELER(T)]])</f>
        <v>67</v>
      </c>
    </row>
    <row r="148" spans="1:18" x14ac:dyDescent="0.3">
      <c r="A148" s="1">
        <v>37803</v>
      </c>
      <c r="B148">
        <v>0</v>
      </c>
      <c r="C148">
        <v>0</v>
      </c>
      <c r="D148">
        <v>0</v>
      </c>
      <c r="E148">
        <v>0</v>
      </c>
      <c r="F148">
        <v>8</v>
      </c>
      <c r="G148">
        <v>22</v>
      </c>
      <c r="H148">
        <v>1</v>
      </c>
      <c r="I148">
        <v>0</v>
      </c>
      <c r="J148">
        <v>0</v>
      </c>
      <c r="K148">
        <v>0</v>
      </c>
      <c r="L148">
        <v>0</v>
      </c>
      <c r="M148">
        <v>0</v>
      </c>
      <c r="N148">
        <v>0</v>
      </c>
      <c r="O148">
        <v>5</v>
      </c>
      <c r="P148">
        <v>18</v>
      </c>
      <c r="Q148">
        <v>0</v>
      </c>
      <c r="R148">
        <f>SUM(Table10[[#This Row],[FOUR WHEELER (INVALID CARRIAGE)]:[TWO WHEELER(T)]])</f>
        <v>54</v>
      </c>
    </row>
    <row r="149" spans="1:18" x14ac:dyDescent="0.3">
      <c r="A149" s="1">
        <v>38169</v>
      </c>
      <c r="B149">
        <v>0</v>
      </c>
      <c r="C149">
        <v>1</v>
      </c>
      <c r="D149">
        <v>1</v>
      </c>
      <c r="E149">
        <v>0</v>
      </c>
      <c r="F149">
        <v>13</v>
      </c>
      <c r="G149">
        <v>20</v>
      </c>
      <c r="H149">
        <v>0</v>
      </c>
      <c r="I149">
        <v>0</v>
      </c>
      <c r="J149">
        <v>0</v>
      </c>
      <c r="K149">
        <v>0</v>
      </c>
      <c r="L149">
        <v>0</v>
      </c>
      <c r="M149">
        <v>0</v>
      </c>
      <c r="N149">
        <v>0</v>
      </c>
      <c r="O149">
        <v>0</v>
      </c>
      <c r="P149">
        <v>17</v>
      </c>
      <c r="Q149">
        <v>0</v>
      </c>
      <c r="R149">
        <f>SUM(Table10[[#This Row],[FOUR WHEELER (INVALID CARRIAGE)]:[TWO WHEELER(T)]])</f>
        <v>52</v>
      </c>
    </row>
    <row r="150" spans="1:18" x14ac:dyDescent="0.3">
      <c r="A150" s="1">
        <v>38534</v>
      </c>
      <c r="B150">
        <v>0</v>
      </c>
      <c r="C150">
        <v>0</v>
      </c>
      <c r="D150">
        <v>1</v>
      </c>
      <c r="E150">
        <v>0</v>
      </c>
      <c r="F150">
        <v>9</v>
      </c>
      <c r="G150">
        <v>31</v>
      </c>
      <c r="H150">
        <v>4</v>
      </c>
      <c r="I150">
        <v>0</v>
      </c>
      <c r="J150">
        <v>0</v>
      </c>
      <c r="K150">
        <v>0</v>
      </c>
      <c r="L150">
        <v>0</v>
      </c>
      <c r="M150">
        <v>0</v>
      </c>
      <c r="N150">
        <v>0</v>
      </c>
      <c r="O150">
        <v>1</v>
      </c>
      <c r="P150">
        <v>74</v>
      </c>
      <c r="Q150">
        <v>0</v>
      </c>
      <c r="R150">
        <f>SUM(Table10[[#This Row],[FOUR WHEELER (INVALID CARRIAGE)]:[TWO WHEELER(T)]])</f>
        <v>120</v>
      </c>
    </row>
    <row r="151" spans="1:18" x14ac:dyDescent="0.3">
      <c r="A151" s="1">
        <v>38899</v>
      </c>
      <c r="B151">
        <v>0</v>
      </c>
      <c r="C151">
        <v>2</v>
      </c>
      <c r="D151">
        <v>0</v>
      </c>
      <c r="E151">
        <v>0</v>
      </c>
      <c r="F151">
        <v>9</v>
      </c>
      <c r="G151">
        <v>30</v>
      </c>
      <c r="H151">
        <v>1</v>
      </c>
      <c r="I151">
        <v>0</v>
      </c>
      <c r="J151">
        <v>0</v>
      </c>
      <c r="K151">
        <v>1</v>
      </c>
      <c r="L151">
        <v>1</v>
      </c>
      <c r="M151">
        <v>0</v>
      </c>
      <c r="N151">
        <v>0</v>
      </c>
      <c r="O151">
        <v>2</v>
      </c>
      <c r="P151">
        <v>117</v>
      </c>
      <c r="Q151">
        <v>0</v>
      </c>
      <c r="R151">
        <f>SUM(Table10[[#This Row],[FOUR WHEELER (INVALID CARRIAGE)]:[TWO WHEELER(T)]])</f>
        <v>163</v>
      </c>
    </row>
    <row r="152" spans="1:18" x14ac:dyDescent="0.3">
      <c r="A152" s="1">
        <v>39264</v>
      </c>
      <c r="B152">
        <v>0</v>
      </c>
      <c r="C152">
        <v>0</v>
      </c>
      <c r="D152">
        <v>2</v>
      </c>
      <c r="E152">
        <v>0</v>
      </c>
      <c r="F152">
        <v>6</v>
      </c>
      <c r="G152">
        <v>54</v>
      </c>
      <c r="H152">
        <v>2</v>
      </c>
      <c r="I152">
        <v>0</v>
      </c>
      <c r="J152">
        <v>0</v>
      </c>
      <c r="K152">
        <v>0</v>
      </c>
      <c r="L152">
        <v>1</v>
      </c>
      <c r="M152">
        <v>0</v>
      </c>
      <c r="N152">
        <v>0</v>
      </c>
      <c r="O152">
        <v>2</v>
      </c>
      <c r="P152">
        <v>145</v>
      </c>
      <c r="Q152">
        <v>0</v>
      </c>
      <c r="R152">
        <f>SUM(Table10[[#This Row],[FOUR WHEELER (INVALID CARRIAGE)]:[TWO WHEELER(T)]])</f>
        <v>212</v>
      </c>
    </row>
    <row r="153" spans="1:18" x14ac:dyDescent="0.3">
      <c r="A153" s="1">
        <v>39630</v>
      </c>
      <c r="B153">
        <v>0</v>
      </c>
      <c r="C153">
        <v>0</v>
      </c>
      <c r="D153">
        <v>4</v>
      </c>
      <c r="E153">
        <v>0</v>
      </c>
      <c r="F153">
        <v>5</v>
      </c>
      <c r="G153">
        <v>90</v>
      </c>
      <c r="H153">
        <v>1</v>
      </c>
      <c r="I153">
        <v>0</v>
      </c>
      <c r="J153">
        <v>0</v>
      </c>
      <c r="K153">
        <v>0</v>
      </c>
      <c r="L153">
        <v>0</v>
      </c>
      <c r="M153">
        <v>0</v>
      </c>
      <c r="N153">
        <v>0</v>
      </c>
      <c r="O153">
        <v>0</v>
      </c>
      <c r="P153">
        <v>1592</v>
      </c>
      <c r="Q153">
        <v>0</v>
      </c>
      <c r="R153">
        <f>SUM(Table10[[#This Row],[FOUR WHEELER (INVALID CARRIAGE)]:[TWO WHEELER(T)]])</f>
        <v>1692</v>
      </c>
    </row>
    <row r="154" spans="1:18" x14ac:dyDescent="0.3">
      <c r="A154" s="1">
        <v>39995</v>
      </c>
      <c r="B154">
        <v>0</v>
      </c>
      <c r="C154">
        <v>0</v>
      </c>
      <c r="D154">
        <v>0</v>
      </c>
      <c r="E154">
        <v>0</v>
      </c>
      <c r="F154">
        <v>0</v>
      </c>
      <c r="G154">
        <v>44</v>
      </c>
      <c r="H154">
        <v>1</v>
      </c>
      <c r="I154">
        <v>0</v>
      </c>
      <c r="J154">
        <v>0</v>
      </c>
      <c r="K154">
        <v>0</v>
      </c>
      <c r="L154">
        <v>0</v>
      </c>
      <c r="M154">
        <v>0</v>
      </c>
      <c r="N154">
        <v>0</v>
      </c>
      <c r="O154">
        <v>2</v>
      </c>
      <c r="P154">
        <v>536</v>
      </c>
      <c r="Q154">
        <v>0</v>
      </c>
      <c r="R154">
        <f>SUM(Table10[[#This Row],[FOUR WHEELER (INVALID CARRIAGE)]:[TWO WHEELER(T)]])</f>
        <v>583</v>
      </c>
    </row>
    <row r="155" spans="1:18" x14ac:dyDescent="0.3">
      <c r="A155" s="1">
        <v>40360</v>
      </c>
      <c r="B155">
        <v>0</v>
      </c>
      <c r="C155">
        <v>3</v>
      </c>
      <c r="D155">
        <v>1</v>
      </c>
      <c r="E155">
        <v>0</v>
      </c>
      <c r="F155">
        <v>5</v>
      </c>
      <c r="G155">
        <v>30</v>
      </c>
      <c r="H155">
        <v>2</v>
      </c>
      <c r="I155">
        <v>0</v>
      </c>
      <c r="J155">
        <v>0</v>
      </c>
      <c r="K155">
        <v>1</v>
      </c>
      <c r="L155">
        <v>0</v>
      </c>
      <c r="M155">
        <v>0</v>
      </c>
      <c r="N155">
        <v>0</v>
      </c>
      <c r="O155">
        <v>5</v>
      </c>
      <c r="P155">
        <v>386</v>
      </c>
      <c r="Q155">
        <v>0</v>
      </c>
      <c r="R155">
        <f>SUM(Table10[[#This Row],[FOUR WHEELER (INVALID CARRIAGE)]:[TWO WHEELER(T)]])</f>
        <v>433</v>
      </c>
    </row>
    <row r="156" spans="1:18" x14ac:dyDescent="0.3">
      <c r="A156" s="1">
        <v>40725</v>
      </c>
      <c r="B156">
        <v>0</v>
      </c>
      <c r="C156">
        <v>1</v>
      </c>
      <c r="D156">
        <v>1</v>
      </c>
      <c r="E156">
        <v>0</v>
      </c>
      <c r="F156">
        <v>9</v>
      </c>
      <c r="G156">
        <v>60</v>
      </c>
      <c r="H156">
        <v>1</v>
      </c>
      <c r="I156">
        <v>0</v>
      </c>
      <c r="J156">
        <v>0</v>
      </c>
      <c r="K156">
        <v>0</v>
      </c>
      <c r="L156">
        <v>1</v>
      </c>
      <c r="M156">
        <v>0</v>
      </c>
      <c r="N156">
        <v>0</v>
      </c>
      <c r="O156">
        <v>2</v>
      </c>
      <c r="P156">
        <v>415</v>
      </c>
      <c r="Q156">
        <v>0</v>
      </c>
      <c r="R156">
        <f>SUM(Table10[[#This Row],[FOUR WHEELER (INVALID CARRIAGE)]:[TWO WHEELER(T)]])</f>
        <v>490</v>
      </c>
    </row>
    <row r="157" spans="1:18" x14ac:dyDescent="0.3">
      <c r="A157" s="1">
        <v>41091</v>
      </c>
      <c r="B157">
        <v>0</v>
      </c>
      <c r="C157">
        <v>2</v>
      </c>
      <c r="D157">
        <v>0</v>
      </c>
      <c r="E157">
        <v>0</v>
      </c>
      <c r="F157">
        <v>4</v>
      </c>
      <c r="G157">
        <v>54</v>
      </c>
      <c r="H157">
        <v>2</v>
      </c>
      <c r="I157">
        <v>0</v>
      </c>
      <c r="J157">
        <v>0</v>
      </c>
      <c r="K157">
        <v>0</v>
      </c>
      <c r="L157">
        <v>2</v>
      </c>
      <c r="M157">
        <v>0</v>
      </c>
      <c r="N157">
        <v>0</v>
      </c>
      <c r="O157">
        <v>1</v>
      </c>
      <c r="P157">
        <v>377</v>
      </c>
      <c r="Q157">
        <v>0</v>
      </c>
      <c r="R157">
        <f>SUM(Table10[[#This Row],[FOUR WHEELER (INVALID CARRIAGE)]:[TWO WHEELER(T)]])</f>
        <v>442</v>
      </c>
    </row>
    <row r="158" spans="1:18" x14ac:dyDescent="0.3">
      <c r="A158" s="1">
        <v>41456</v>
      </c>
      <c r="B158">
        <v>0</v>
      </c>
      <c r="C158">
        <v>1</v>
      </c>
      <c r="D158">
        <v>0</v>
      </c>
      <c r="E158">
        <v>0</v>
      </c>
      <c r="F158">
        <v>8</v>
      </c>
      <c r="G158">
        <v>41</v>
      </c>
      <c r="H158">
        <v>3</v>
      </c>
      <c r="I158">
        <v>0</v>
      </c>
      <c r="J158">
        <v>0</v>
      </c>
      <c r="K158">
        <v>0</v>
      </c>
      <c r="L158">
        <v>0</v>
      </c>
      <c r="M158">
        <v>0</v>
      </c>
      <c r="N158">
        <v>0</v>
      </c>
      <c r="O158">
        <v>6</v>
      </c>
      <c r="P158">
        <v>137</v>
      </c>
      <c r="Q158">
        <v>0</v>
      </c>
      <c r="R158">
        <f>SUM(Table10[[#This Row],[FOUR WHEELER (INVALID CARRIAGE)]:[TWO WHEELER(T)]])</f>
        <v>196</v>
      </c>
    </row>
    <row r="159" spans="1:18" x14ac:dyDescent="0.3">
      <c r="A159" s="1">
        <v>41821</v>
      </c>
      <c r="B159">
        <v>0</v>
      </c>
      <c r="C159">
        <v>0</v>
      </c>
      <c r="D159">
        <v>0</v>
      </c>
      <c r="E159">
        <v>0</v>
      </c>
      <c r="F159">
        <v>9</v>
      </c>
      <c r="G159">
        <v>30</v>
      </c>
      <c r="H159">
        <v>0</v>
      </c>
      <c r="I159">
        <v>0</v>
      </c>
      <c r="J159">
        <v>0</v>
      </c>
      <c r="K159">
        <v>0</v>
      </c>
      <c r="L159">
        <v>4</v>
      </c>
      <c r="M159">
        <v>0</v>
      </c>
      <c r="N159">
        <v>0</v>
      </c>
      <c r="O159">
        <v>1</v>
      </c>
      <c r="P159">
        <v>153</v>
      </c>
      <c r="Q159">
        <v>0</v>
      </c>
      <c r="R159">
        <f>SUM(Table10[[#This Row],[FOUR WHEELER (INVALID CARRIAGE)]:[TWO WHEELER(T)]])</f>
        <v>197</v>
      </c>
    </row>
    <row r="160" spans="1:18" x14ac:dyDescent="0.3">
      <c r="A160" s="1">
        <v>42186</v>
      </c>
      <c r="B160">
        <v>0</v>
      </c>
      <c r="C160">
        <v>1</v>
      </c>
      <c r="D160">
        <v>0</v>
      </c>
      <c r="E160">
        <v>1</v>
      </c>
      <c r="F160">
        <v>5</v>
      </c>
      <c r="G160">
        <v>77</v>
      </c>
      <c r="H160">
        <v>11</v>
      </c>
      <c r="I160">
        <v>1</v>
      </c>
      <c r="J160">
        <v>0</v>
      </c>
      <c r="K160">
        <v>0</v>
      </c>
      <c r="L160">
        <v>1</v>
      </c>
      <c r="M160">
        <v>0</v>
      </c>
      <c r="N160">
        <v>0</v>
      </c>
      <c r="O160">
        <v>173</v>
      </c>
      <c r="P160">
        <v>111</v>
      </c>
      <c r="Q160">
        <v>0</v>
      </c>
      <c r="R160">
        <f>SUM(Table10[[#This Row],[FOUR WHEELER (INVALID CARRIAGE)]:[TWO WHEELER(T)]])</f>
        <v>381</v>
      </c>
    </row>
    <row r="161" spans="1:18" x14ac:dyDescent="0.3">
      <c r="A161" s="1">
        <v>42552</v>
      </c>
      <c r="B161">
        <v>0</v>
      </c>
      <c r="C161">
        <v>0</v>
      </c>
      <c r="D161">
        <v>1</v>
      </c>
      <c r="E161">
        <v>0</v>
      </c>
      <c r="F161">
        <v>9</v>
      </c>
      <c r="G161">
        <v>52</v>
      </c>
      <c r="H161">
        <v>0</v>
      </c>
      <c r="I161">
        <v>0</v>
      </c>
      <c r="J161">
        <v>0</v>
      </c>
      <c r="K161">
        <v>0</v>
      </c>
      <c r="L161">
        <v>11</v>
      </c>
      <c r="M161">
        <v>0</v>
      </c>
      <c r="N161">
        <v>0</v>
      </c>
      <c r="O161">
        <v>4172</v>
      </c>
      <c r="P161">
        <v>130</v>
      </c>
      <c r="Q161">
        <v>0</v>
      </c>
      <c r="R161">
        <f>SUM(Table10[[#This Row],[FOUR WHEELER (INVALID CARRIAGE)]:[TWO WHEELER(T)]])</f>
        <v>4375</v>
      </c>
    </row>
    <row r="162" spans="1:18" x14ac:dyDescent="0.3">
      <c r="A162" s="1">
        <v>42917</v>
      </c>
      <c r="B162">
        <v>0</v>
      </c>
      <c r="C162">
        <v>0</v>
      </c>
      <c r="D162">
        <v>0</v>
      </c>
      <c r="E162">
        <v>0</v>
      </c>
      <c r="F162">
        <v>47</v>
      </c>
      <c r="G162">
        <v>73</v>
      </c>
      <c r="H162">
        <v>0</v>
      </c>
      <c r="I162">
        <v>0</v>
      </c>
      <c r="J162">
        <v>0</v>
      </c>
      <c r="K162">
        <v>0</v>
      </c>
      <c r="L162">
        <v>35</v>
      </c>
      <c r="M162">
        <v>1</v>
      </c>
      <c r="N162">
        <v>0</v>
      </c>
      <c r="O162">
        <v>8771</v>
      </c>
      <c r="P162">
        <v>116</v>
      </c>
      <c r="Q162">
        <v>0</v>
      </c>
      <c r="R162">
        <f>SUM(Table10[[#This Row],[FOUR WHEELER (INVALID CARRIAGE)]:[TWO WHEELER(T)]])</f>
        <v>9043</v>
      </c>
    </row>
    <row r="163" spans="1:18" x14ac:dyDescent="0.3">
      <c r="A163" s="1">
        <v>43282</v>
      </c>
      <c r="B163">
        <v>0</v>
      </c>
      <c r="C163">
        <v>0</v>
      </c>
      <c r="D163">
        <v>0</v>
      </c>
      <c r="E163">
        <v>0</v>
      </c>
      <c r="F163">
        <v>97</v>
      </c>
      <c r="G163">
        <v>91</v>
      </c>
      <c r="H163">
        <v>87</v>
      </c>
      <c r="I163">
        <v>0</v>
      </c>
      <c r="J163">
        <v>0</v>
      </c>
      <c r="K163">
        <v>2</v>
      </c>
      <c r="L163">
        <v>59</v>
      </c>
      <c r="M163">
        <v>23</v>
      </c>
      <c r="N163">
        <v>0</v>
      </c>
      <c r="O163">
        <v>9819</v>
      </c>
      <c r="P163">
        <v>1215</v>
      </c>
      <c r="Q163">
        <v>5</v>
      </c>
      <c r="R163">
        <f>SUM(Table10[[#This Row],[FOUR WHEELER (INVALID CARRIAGE)]:[TWO WHEELER(T)]])</f>
        <v>11398</v>
      </c>
    </row>
    <row r="164" spans="1:18" x14ac:dyDescent="0.3">
      <c r="A164" s="1">
        <v>43647</v>
      </c>
      <c r="B164">
        <v>0</v>
      </c>
      <c r="C164">
        <v>0</v>
      </c>
      <c r="D164">
        <v>0</v>
      </c>
      <c r="E164">
        <v>35</v>
      </c>
      <c r="F164">
        <v>5</v>
      </c>
      <c r="G164">
        <v>67</v>
      </c>
      <c r="H164">
        <v>45</v>
      </c>
      <c r="I164">
        <v>0</v>
      </c>
      <c r="J164">
        <v>0</v>
      </c>
      <c r="K164">
        <v>0</v>
      </c>
      <c r="L164">
        <v>13</v>
      </c>
      <c r="M164">
        <v>2</v>
      </c>
      <c r="N164">
        <v>0</v>
      </c>
      <c r="O164">
        <v>10745</v>
      </c>
      <c r="P164">
        <v>1558</v>
      </c>
      <c r="Q164">
        <v>11</v>
      </c>
      <c r="R164">
        <f>SUM(Table10[[#This Row],[FOUR WHEELER (INVALID CARRIAGE)]:[TWO WHEELER(T)]])</f>
        <v>12481</v>
      </c>
    </row>
    <row r="165" spans="1:18" x14ac:dyDescent="0.3">
      <c r="A165" s="1">
        <v>44013</v>
      </c>
      <c r="B165">
        <v>0</v>
      </c>
      <c r="C165">
        <v>0</v>
      </c>
      <c r="D165">
        <v>0</v>
      </c>
      <c r="E165">
        <v>0</v>
      </c>
      <c r="F165">
        <v>1</v>
      </c>
      <c r="G165">
        <v>351</v>
      </c>
      <c r="H165">
        <v>7</v>
      </c>
      <c r="I165">
        <v>0</v>
      </c>
      <c r="J165">
        <v>0</v>
      </c>
      <c r="K165">
        <v>0</v>
      </c>
      <c r="L165">
        <v>78</v>
      </c>
      <c r="M165">
        <v>2</v>
      </c>
      <c r="N165">
        <v>0</v>
      </c>
      <c r="O165">
        <v>5870</v>
      </c>
      <c r="P165">
        <v>1485</v>
      </c>
      <c r="Q165">
        <v>5</v>
      </c>
      <c r="R165">
        <f>SUM(Table10[[#This Row],[FOUR WHEELER (INVALID CARRIAGE)]:[TWO WHEELER(T)]])</f>
        <v>7799</v>
      </c>
    </row>
    <row r="166" spans="1:18" x14ac:dyDescent="0.3">
      <c r="A166" s="1">
        <v>44378</v>
      </c>
      <c r="B166">
        <v>0</v>
      </c>
      <c r="C166">
        <v>0</v>
      </c>
      <c r="D166">
        <v>0</v>
      </c>
      <c r="E166">
        <v>39</v>
      </c>
      <c r="F166">
        <v>135</v>
      </c>
      <c r="G166">
        <v>1070</v>
      </c>
      <c r="H166">
        <v>50</v>
      </c>
      <c r="I166">
        <v>0</v>
      </c>
      <c r="J166">
        <v>10</v>
      </c>
      <c r="K166">
        <v>0</v>
      </c>
      <c r="L166">
        <v>300</v>
      </c>
      <c r="M166">
        <v>20</v>
      </c>
      <c r="N166">
        <v>1</v>
      </c>
      <c r="O166">
        <v>11851</v>
      </c>
      <c r="P166">
        <v>14671</v>
      </c>
      <c r="Q166">
        <v>20</v>
      </c>
      <c r="R166">
        <f>SUM(Table10[[#This Row],[FOUR WHEELER (INVALID CARRIAGE)]:[TWO WHEELER(T)]])</f>
        <v>28167</v>
      </c>
    </row>
    <row r="167" spans="1:18" x14ac:dyDescent="0.3">
      <c r="A167" s="1">
        <v>44743</v>
      </c>
      <c r="B167">
        <v>1</v>
      </c>
      <c r="C167">
        <v>0</v>
      </c>
      <c r="D167">
        <v>0</v>
      </c>
      <c r="E167">
        <v>207</v>
      </c>
      <c r="F167">
        <v>29</v>
      </c>
      <c r="G167">
        <v>2957</v>
      </c>
      <c r="H167">
        <v>457</v>
      </c>
      <c r="I167">
        <v>0</v>
      </c>
      <c r="J167">
        <v>0</v>
      </c>
      <c r="K167">
        <v>0</v>
      </c>
      <c r="L167">
        <v>111</v>
      </c>
      <c r="M167">
        <v>30</v>
      </c>
      <c r="N167">
        <v>3</v>
      </c>
      <c r="O167">
        <v>30473</v>
      </c>
      <c r="P167">
        <v>46442</v>
      </c>
      <c r="Q167">
        <v>167</v>
      </c>
      <c r="R167">
        <f>SUM(Table10[[#This Row],[FOUR WHEELER (INVALID CARRIAGE)]:[TWO WHEELER(T)]])</f>
        <v>80877</v>
      </c>
    </row>
    <row r="168" spans="1:18" x14ac:dyDescent="0.3">
      <c r="A168" s="1">
        <v>45108</v>
      </c>
      <c r="B168">
        <v>2</v>
      </c>
      <c r="C168">
        <v>13</v>
      </c>
      <c r="D168">
        <v>0</v>
      </c>
      <c r="E168">
        <v>142</v>
      </c>
      <c r="F168">
        <v>205</v>
      </c>
      <c r="G168">
        <v>6920</v>
      </c>
      <c r="H168">
        <v>848</v>
      </c>
      <c r="I168">
        <v>0</v>
      </c>
      <c r="J168">
        <v>2</v>
      </c>
      <c r="K168">
        <v>0</v>
      </c>
      <c r="L168">
        <v>0</v>
      </c>
      <c r="M168">
        <v>15</v>
      </c>
      <c r="N168">
        <v>0</v>
      </c>
      <c r="O168">
        <v>53858</v>
      </c>
      <c r="P168">
        <v>54429</v>
      </c>
      <c r="Q168">
        <v>188</v>
      </c>
      <c r="R168">
        <f>SUM(Table10[[#This Row],[FOUR WHEELER (INVALID CARRIAGE)]:[TWO WHEELER(T)]])</f>
        <v>116622</v>
      </c>
    </row>
    <row r="169" spans="1:18" x14ac:dyDescent="0.3">
      <c r="A169" s="1">
        <v>45474</v>
      </c>
      <c r="B169">
        <v>1</v>
      </c>
      <c r="C169">
        <v>3</v>
      </c>
      <c r="D169">
        <v>0</v>
      </c>
      <c r="E169">
        <v>390</v>
      </c>
      <c r="F169">
        <v>340</v>
      </c>
      <c r="G169">
        <v>6343</v>
      </c>
      <c r="H169">
        <v>232</v>
      </c>
      <c r="I169">
        <v>0</v>
      </c>
      <c r="J169">
        <v>2</v>
      </c>
      <c r="K169">
        <v>0</v>
      </c>
      <c r="L169">
        <v>0</v>
      </c>
      <c r="M169">
        <v>37</v>
      </c>
      <c r="N169">
        <v>0</v>
      </c>
      <c r="O169">
        <v>59147</v>
      </c>
      <c r="P169">
        <v>61237</v>
      </c>
      <c r="Q169">
        <v>180</v>
      </c>
      <c r="R169">
        <f>SUM(Table10[[#This Row],[FOUR WHEELER (INVALID CARRIAGE)]:[TWO WHEELER(T)]])</f>
        <v>127912</v>
      </c>
    </row>
    <row r="170" spans="1:18" x14ac:dyDescent="0.3">
      <c r="A170" s="1">
        <v>37104</v>
      </c>
      <c r="B170">
        <v>0</v>
      </c>
      <c r="C170">
        <v>0</v>
      </c>
      <c r="D170">
        <v>0</v>
      </c>
      <c r="E170">
        <v>0</v>
      </c>
      <c r="F170">
        <v>6</v>
      </c>
      <c r="G170">
        <v>44</v>
      </c>
      <c r="H170">
        <v>0</v>
      </c>
      <c r="I170">
        <v>0</v>
      </c>
      <c r="J170">
        <v>0</v>
      </c>
      <c r="K170">
        <v>0</v>
      </c>
      <c r="L170">
        <v>0</v>
      </c>
      <c r="M170">
        <v>2</v>
      </c>
      <c r="N170">
        <v>0</v>
      </c>
      <c r="O170">
        <v>6</v>
      </c>
      <c r="P170">
        <v>126</v>
      </c>
      <c r="Q170">
        <v>0</v>
      </c>
      <c r="R170">
        <f>SUM(Table10[[#This Row],[FOUR WHEELER (INVALID CARRIAGE)]:[TWO WHEELER(T)]])</f>
        <v>184</v>
      </c>
    </row>
    <row r="171" spans="1:18" x14ac:dyDescent="0.3">
      <c r="A171" s="1">
        <v>37469</v>
      </c>
      <c r="B171">
        <v>0</v>
      </c>
      <c r="C171">
        <v>0</v>
      </c>
      <c r="D171">
        <v>0</v>
      </c>
      <c r="E171">
        <v>1</v>
      </c>
      <c r="F171">
        <v>27</v>
      </c>
      <c r="G171">
        <v>27</v>
      </c>
      <c r="H171">
        <v>11</v>
      </c>
      <c r="I171">
        <v>0</v>
      </c>
      <c r="J171">
        <v>0</v>
      </c>
      <c r="K171">
        <v>1</v>
      </c>
      <c r="L171">
        <v>1</v>
      </c>
      <c r="M171">
        <v>0</v>
      </c>
      <c r="N171">
        <v>0</v>
      </c>
      <c r="O171">
        <v>4</v>
      </c>
      <c r="P171">
        <v>16</v>
      </c>
      <c r="Q171">
        <v>0</v>
      </c>
      <c r="R171">
        <f>SUM(Table10[[#This Row],[FOUR WHEELER (INVALID CARRIAGE)]:[TWO WHEELER(T)]])</f>
        <v>88</v>
      </c>
    </row>
    <row r="172" spans="1:18" x14ac:dyDescent="0.3">
      <c r="A172" s="1">
        <v>37834</v>
      </c>
      <c r="B172">
        <v>0</v>
      </c>
      <c r="C172">
        <v>1</v>
      </c>
      <c r="D172">
        <v>0</v>
      </c>
      <c r="E172">
        <v>0</v>
      </c>
      <c r="F172">
        <v>10</v>
      </c>
      <c r="G172">
        <v>28</v>
      </c>
      <c r="H172">
        <v>4</v>
      </c>
      <c r="I172">
        <v>0</v>
      </c>
      <c r="J172">
        <v>0</v>
      </c>
      <c r="K172">
        <v>0</v>
      </c>
      <c r="L172">
        <v>1</v>
      </c>
      <c r="M172">
        <v>0</v>
      </c>
      <c r="N172">
        <v>0</v>
      </c>
      <c r="O172">
        <v>0</v>
      </c>
      <c r="P172">
        <v>13</v>
      </c>
      <c r="Q172">
        <v>0</v>
      </c>
      <c r="R172">
        <f>SUM(Table10[[#This Row],[FOUR WHEELER (INVALID CARRIAGE)]:[TWO WHEELER(T)]])</f>
        <v>57</v>
      </c>
    </row>
    <row r="173" spans="1:18" x14ac:dyDescent="0.3">
      <c r="A173" s="1">
        <v>38200</v>
      </c>
      <c r="B173">
        <v>0</v>
      </c>
      <c r="C173">
        <v>1</v>
      </c>
      <c r="D173">
        <v>1</v>
      </c>
      <c r="E173">
        <v>0</v>
      </c>
      <c r="F173">
        <v>8</v>
      </c>
      <c r="G173">
        <v>9</v>
      </c>
      <c r="H173">
        <v>0</v>
      </c>
      <c r="I173">
        <v>0</v>
      </c>
      <c r="J173">
        <v>0</v>
      </c>
      <c r="K173">
        <v>0</v>
      </c>
      <c r="L173">
        <v>0</v>
      </c>
      <c r="M173">
        <v>0</v>
      </c>
      <c r="N173">
        <v>0</v>
      </c>
      <c r="O173">
        <v>1</v>
      </c>
      <c r="P173">
        <v>12</v>
      </c>
      <c r="Q173">
        <v>0</v>
      </c>
      <c r="R173">
        <f>SUM(Table10[[#This Row],[FOUR WHEELER (INVALID CARRIAGE)]:[TWO WHEELER(T)]])</f>
        <v>32</v>
      </c>
    </row>
    <row r="174" spans="1:18" x14ac:dyDescent="0.3">
      <c r="A174" s="1">
        <v>38565</v>
      </c>
      <c r="B174">
        <v>0</v>
      </c>
      <c r="C174">
        <v>0</v>
      </c>
      <c r="D174">
        <v>0</v>
      </c>
      <c r="E174">
        <v>0</v>
      </c>
      <c r="F174">
        <v>5</v>
      </c>
      <c r="G174">
        <v>25</v>
      </c>
      <c r="H174">
        <v>0</v>
      </c>
      <c r="I174">
        <v>1</v>
      </c>
      <c r="J174">
        <v>0</v>
      </c>
      <c r="K174">
        <v>0</v>
      </c>
      <c r="L174">
        <v>0</v>
      </c>
      <c r="M174">
        <v>0</v>
      </c>
      <c r="N174">
        <v>0</v>
      </c>
      <c r="O174">
        <v>1</v>
      </c>
      <c r="P174">
        <v>105</v>
      </c>
      <c r="Q174">
        <v>0</v>
      </c>
      <c r="R174">
        <f>SUM(Table10[[#This Row],[FOUR WHEELER (INVALID CARRIAGE)]:[TWO WHEELER(T)]])</f>
        <v>137</v>
      </c>
    </row>
    <row r="175" spans="1:18" x14ac:dyDescent="0.3">
      <c r="A175" s="1">
        <v>38930</v>
      </c>
      <c r="B175">
        <v>0</v>
      </c>
      <c r="C175">
        <v>0</v>
      </c>
      <c r="D175">
        <v>0</v>
      </c>
      <c r="E175">
        <v>0</v>
      </c>
      <c r="F175">
        <v>6</v>
      </c>
      <c r="G175">
        <v>44</v>
      </c>
      <c r="H175">
        <v>0</v>
      </c>
      <c r="I175">
        <v>0</v>
      </c>
      <c r="J175">
        <v>0</v>
      </c>
      <c r="K175">
        <v>0</v>
      </c>
      <c r="L175">
        <v>0</v>
      </c>
      <c r="M175">
        <v>2</v>
      </c>
      <c r="N175">
        <v>0</v>
      </c>
      <c r="O175">
        <v>6</v>
      </c>
      <c r="P175">
        <v>126</v>
      </c>
      <c r="Q175">
        <v>0</v>
      </c>
      <c r="R175">
        <f>SUM(Table10[[#This Row],[FOUR WHEELER (INVALID CARRIAGE)]:[TWO WHEELER(T)]])</f>
        <v>184</v>
      </c>
    </row>
    <row r="176" spans="1:18" x14ac:dyDescent="0.3">
      <c r="A176" s="1">
        <v>39295</v>
      </c>
      <c r="B176">
        <v>0</v>
      </c>
      <c r="C176">
        <v>0</v>
      </c>
      <c r="D176">
        <v>2</v>
      </c>
      <c r="E176">
        <v>0</v>
      </c>
      <c r="F176">
        <v>7</v>
      </c>
      <c r="G176">
        <v>31</v>
      </c>
      <c r="H176">
        <v>0</v>
      </c>
      <c r="I176">
        <v>0</v>
      </c>
      <c r="J176">
        <v>0</v>
      </c>
      <c r="K176">
        <v>0</v>
      </c>
      <c r="L176">
        <v>0</v>
      </c>
      <c r="M176">
        <v>0</v>
      </c>
      <c r="N176">
        <v>0</v>
      </c>
      <c r="O176">
        <v>1</v>
      </c>
      <c r="P176">
        <v>165</v>
      </c>
      <c r="Q176">
        <v>0</v>
      </c>
      <c r="R176">
        <f>SUM(Table10[[#This Row],[FOUR WHEELER (INVALID CARRIAGE)]:[TWO WHEELER(T)]])</f>
        <v>206</v>
      </c>
    </row>
    <row r="177" spans="1:18" x14ac:dyDescent="0.3">
      <c r="A177" s="1">
        <v>39661</v>
      </c>
      <c r="B177">
        <v>0</v>
      </c>
      <c r="C177">
        <v>1</v>
      </c>
      <c r="D177">
        <v>0</v>
      </c>
      <c r="E177">
        <v>0</v>
      </c>
      <c r="F177">
        <v>2</v>
      </c>
      <c r="G177">
        <v>62</v>
      </c>
      <c r="H177">
        <v>1</v>
      </c>
      <c r="I177">
        <v>0</v>
      </c>
      <c r="J177">
        <v>0</v>
      </c>
      <c r="K177">
        <v>0</v>
      </c>
      <c r="L177">
        <v>0</v>
      </c>
      <c r="M177">
        <v>0</v>
      </c>
      <c r="N177">
        <v>0</v>
      </c>
      <c r="O177">
        <v>4</v>
      </c>
      <c r="P177">
        <v>1389</v>
      </c>
      <c r="Q177">
        <v>0</v>
      </c>
      <c r="R177">
        <f>SUM(Table10[[#This Row],[FOUR WHEELER (INVALID CARRIAGE)]:[TWO WHEELER(T)]])</f>
        <v>1459</v>
      </c>
    </row>
    <row r="178" spans="1:18" x14ac:dyDescent="0.3">
      <c r="A178" s="1">
        <v>40026</v>
      </c>
      <c r="B178">
        <v>0</v>
      </c>
      <c r="C178">
        <v>0</v>
      </c>
      <c r="D178">
        <v>0</v>
      </c>
      <c r="E178">
        <v>0</v>
      </c>
      <c r="F178">
        <v>4</v>
      </c>
      <c r="G178">
        <v>28</v>
      </c>
      <c r="H178">
        <v>0</v>
      </c>
      <c r="I178">
        <v>0</v>
      </c>
      <c r="J178">
        <v>0</v>
      </c>
      <c r="K178">
        <v>0</v>
      </c>
      <c r="L178">
        <v>0</v>
      </c>
      <c r="M178">
        <v>0</v>
      </c>
      <c r="N178">
        <v>0</v>
      </c>
      <c r="O178">
        <v>2</v>
      </c>
      <c r="P178">
        <v>424</v>
      </c>
      <c r="Q178">
        <v>0</v>
      </c>
      <c r="R178">
        <f>SUM(Table10[[#This Row],[FOUR WHEELER (INVALID CARRIAGE)]:[TWO WHEELER(T)]])</f>
        <v>458</v>
      </c>
    </row>
    <row r="179" spans="1:18" x14ac:dyDescent="0.3">
      <c r="A179" s="1">
        <v>40391</v>
      </c>
      <c r="B179">
        <v>0</v>
      </c>
      <c r="C179">
        <v>1</v>
      </c>
      <c r="D179">
        <v>0</v>
      </c>
      <c r="E179">
        <v>0</v>
      </c>
      <c r="F179">
        <v>4</v>
      </c>
      <c r="G179">
        <v>42</v>
      </c>
      <c r="H179">
        <v>3</v>
      </c>
      <c r="I179">
        <v>0</v>
      </c>
      <c r="J179">
        <v>0</v>
      </c>
      <c r="K179">
        <v>0</v>
      </c>
      <c r="L179">
        <v>0</v>
      </c>
      <c r="M179">
        <v>1</v>
      </c>
      <c r="N179">
        <v>0</v>
      </c>
      <c r="O179">
        <v>4</v>
      </c>
      <c r="P179">
        <v>323</v>
      </c>
      <c r="Q179">
        <v>0</v>
      </c>
      <c r="R179">
        <f>SUM(Table10[[#This Row],[FOUR WHEELER (INVALID CARRIAGE)]:[TWO WHEELER(T)]])</f>
        <v>378</v>
      </c>
    </row>
    <row r="180" spans="1:18" x14ac:dyDescent="0.3">
      <c r="A180" s="1">
        <v>40756</v>
      </c>
      <c r="B180">
        <v>0</v>
      </c>
      <c r="C180">
        <v>2</v>
      </c>
      <c r="D180">
        <v>0</v>
      </c>
      <c r="E180">
        <v>0</v>
      </c>
      <c r="F180">
        <v>9</v>
      </c>
      <c r="G180">
        <v>65</v>
      </c>
      <c r="H180">
        <v>1</v>
      </c>
      <c r="I180">
        <v>0</v>
      </c>
      <c r="J180">
        <v>0</v>
      </c>
      <c r="K180">
        <v>0</v>
      </c>
      <c r="L180">
        <v>0</v>
      </c>
      <c r="M180">
        <v>0</v>
      </c>
      <c r="N180">
        <v>0</v>
      </c>
      <c r="O180">
        <v>4</v>
      </c>
      <c r="P180">
        <v>417</v>
      </c>
      <c r="Q180">
        <v>0</v>
      </c>
      <c r="R180">
        <f>SUM(Table10[[#This Row],[FOUR WHEELER (INVALID CARRIAGE)]:[TWO WHEELER(T)]])</f>
        <v>498</v>
      </c>
    </row>
    <row r="181" spans="1:18" x14ac:dyDescent="0.3">
      <c r="A181" s="1">
        <v>41122</v>
      </c>
      <c r="B181">
        <v>0</v>
      </c>
      <c r="C181">
        <v>0</v>
      </c>
      <c r="D181">
        <v>1</v>
      </c>
      <c r="E181">
        <v>0</v>
      </c>
      <c r="F181">
        <v>6</v>
      </c>
      <c r="G181">
        <v>41</v>
      </c>
      <c r="H181">
        <v>2</v>
      </c>
      <c r="I181">
        <v>0</v>
      </c>
      <c r="J181">
        <v>0</v>
      </c>
      <c r="K181">
        <v>1</v>
      </c>
      <c r="L181">
        <v>1</v>
      </c>
      <c r="M181">
        <v>0</v>
      </c>
      <c r="N181">
        <v>0</v>
      </c>
      <c r="O181">
        <v>5</v>
      </c>
      <c r="P181">
        <v>320</v>
      </c>
      <c r="Q181">
        <v>0</v>
      </c>
      <c r="R181">
        <f>SUM(Table10[[#This Row],[FOUR WHEELER (INVALID CARRIAGE)]:[TWO WHEELER(T)]])</f>
        <v>377</v>
      </c>
    </row>
    <row r="182" spans="1:18" x14ac:dyDescent="0.3">
      <c r="A182" s="1">
        <v>41487</v>
      </c>
      <c r="B182">
        <v>0</v>
      </c>
      <c r="C182">
        <v>0</v>
      </c>
      <c r="D182">
        <v>0</v>
      </c>
      <c r="E182">
        <v>0</v>
      </c>
      <c r="F182">
        <v>9</v>
      </c>
      <c r="G182">
        <v>41</v>
      </c>
      <c r="H182">
        <v>2</v>
      </c>
      <c r="I182">
        <v>0</v>
      </c>
      <c r="J182">
        <v>0</v>
      </c>
      <c r="K182">
        <v>0</v>
      </c>
      <c r="L182">
        <v>0</v>
      </c>
      <c r="M182">
        <v>0</v>
      </c>
      <c r="N182">
        <v>0</v>
      </c>
      <c r="O182">
        <v>1</v>
      </c>
      <c r="P182">
        <v>114</v>
      </c>
      <c r="Q182">
        <v>0</v>
      </c>
      <c r="R182">
        <f>SUM(Table10[[#This Row],[FOUR WHEELER (INVALID CARRIAGE)]:[TWO WHEELER(T)]])</f>
        <v>167</v>
      </c>
    </row>
    <row r="183" spans="1:18" x14ac:dyDescent="0.3">
      <c r="A183" s="1">
        <v>41852</v>
      </c>
      <c r="B183">
        <v>0</v>
      </c>
      <c r="C183">
        <v>0</v>
      </c>
      <c r="D183">
        <v>0</v>
      </c>
      <c r="E183">
        <v>0</v>
      </c>
      <c r="F183">
        <v>2</v>
      </c>
      <c r="G183">
        <v>64</v>
      </c>
      <c r="H183">
        <v>0</v>
      </c>
      <c r="I183">
        <v>0</v>
      </c>
      <c r="J183">
        <v>0</v>
      </c>
      <c r="K183">
        <v>0</v>
      </c>
      <c r="L183">
        <v>0</v>
      </c>
      <c r="M183">
        <v>2</v>
      </c>
      <c r="N183">
        <v>0</v>
      </c>
      <c r="O183">
        <v>0</v>
      </c>
      <c r="P183">
        <v>112</v>
      </c>
      <c r="Q183">
        <v>0</v>
      </c>
      <c r="R183">
        <f>SUM(Table10[[#This Row],[FOUR WHEELER (INVALID CARRIAGE)]:[TWO WHEELER(T)]])</f>
        <v>180</v>
      </c>
    </row>
    <row r="184" spans="1:18" x14ac:dyDescent="0.3">
      <c r="A184" s="1">
        <v>42217</v>
      </c>
      <c r="B184">
        <v>0</v>
      </c>
      <c r="C184">
        <v>0</v>
      </c>
      <c r="D184">
        <v>0</v>
      </c>
      <c r="E184">
        <v>0</v>
      </c>
      <c r="F184">
        <v>4</v>
      </c>
      <c r="G184">
        <v>61</v>
      </c>
      <c r="H184">
        <v>6</v>
      </c>
      <c r="I184">
        <v>0</v>
      </c>
      <c r="J184">
        <v>0</v>
      </c>
      <c r="K184">
        <v>0</v>
      </c>
      <c r="L184">
        <v>2</v>
      </c>
      <c r="M184">
        <v>0</v>
      </c>
      <c r="N184">
        <v>0</v>
      </c>
      <c r="O184">
        <v>519</v>
      </c>
      <c r="P184">
        <v>118</v>
      </c>
      <c r="Q184">
        <v>0</v>
      </c>
      <c r="R184">
        <f>SUM(Table10[[#This Row],[FOUR WHEELER (INVALID CARRIAGE)]:[TWO WHEELER(T)]])</f>
        <v>710</v>
      </c>
    </row>
    <row r="185" spans="1:18" x14ac:dyDescent="0.3">
      <c r="A185" s="1">
        <v>42583</v>
      </c>
      <c r="B185">
        <v>0</v>
      </c>
      <c r="C185">
        <v>1</v>
      </c>
      <c r="D185">
        <v>0</v>
      </c>
      <c r="E185">
        <v>0</v>
      </c>
      <c r="F185">
        <v>6</v>
      </c>
      <c r="G185">
        <v>64</v>
      </c>
      <c r="H185">
        <v>1</v>
      </c>
      <c r="I185">
        <v>0</v>
      </c>
      <c r="J185">
        <v>0</v>
      </c>
      <c r="K185">
        <v>0</v>
      </c>
      <c r="L185">
        <v>11</v>
      </c>
      <c r="M185">
        <v>1</v>
      </c>
      <c r="N185">
        <v>0</v>
      </c>
      <c r="O185">
        <v>3850</v>
      </c>
      <c r="P185">
        <v>84</v>
      </c>
      <c r="Q185">
        <v>0</v>
      </c>
      <c r="R185">
        <f>SUM(Table10[[#This Row],[FOUR WHEELER (INVALID CARRIAGE)]:[TWO WHEELER(T)]])</f>
        <v>4018</v>
      </c>
    </row>
    <row r="186" spans="1:18" x14ac:dyDescent="0.3">
      <c r="A186" s="1">
        <v>42948</v>
      </c>
      <c r="B186">
        <v>0</v>
      </c>
      <c r="C186">
        <v>0</v>
      </c>
      <c r="D186">
        <v>0</v>
      </c>
      <c r="E186">
        <v>0</v>
      </c>
      <c r="F186">
        <v>42</v>
      </c>
      <c r="G186">
        <v>81</v>
      </c>
      <c r="H186">
        <v>13</v>
      </c>
      <c r="I186">
        <v>0</v>
      </c>
      <c r="J186">
        <v>0</v>
      </c>
      <c r="K186">
        <v>0</v>
      </c>
      <c r="L186">
        <v>28</v>
      </c>
      <c r="M186">
        <v>2</v>
      </c>
      <c r="N186">
        <v>0</v>
      </c>
      <c r="O186">
        <v>8903</v>
      </c>
      <c r="P186">
        <v>100</v>
      </c>
      <c r="Q186">
        <v>0</v>
      </c>
      <c r="R186">
        <f>SUM(Table10[[#This Row],[FOUR WHEELER (INVALID CARRIAGE)]:[TWO WHEELER(T)]])</f>
        <v>9169</v>
      </c>
    </row>
    <row r="187" spans="1:18" x14ac:dyDescent="0.3">
      <c r="A187" s="1">
        <v>43313</v>
      </c>
      <c r="B187">
        <v>0</v>
      </c>
      <c r="C187">
        <v>0</v>
      </c>
      <c r="D187">
        <v>0</v>
      </c>
      <c r="E187">
        <v>0</v>
      </c>
      <c r="F187">
        <v>81</v>
      </c>
      <c r="G187">
        <v>71</v>
      </c>
      <c r="H187">
        <v>45</v>
      </c>
      <c r="I187">
        <v>0</v>
      </c>
      <c r="J187">
        <v>0</v>
      </c>
      <c r="K187">
        <v>0</v>
      </c>
      <c r="L187">
        <v>32</v>
      </c>
      <c r="M187">
        <v>14</v>
      </c>
      <c r="N187">
        <v>0</v>
      </c>
      <c r="O187">
        <v>9975</v>
      </c>
      <c r="P187">
        <v>1498</v>
      </c>
      <c r="Q187">
        <v>75</v>
      </c>
      <c r="R187">
        <f>SUM(Table10[[#This Row],[FOUR WHEELER (INVALID CARRIAGE)]:[TWO WHEELER(T)]])</f>
        <v>11791</v>
      </c>
    </row>
    <row r="188" spans="1:18" x14ac:dyDescent="0.3">
      <c r="A188" s="1">
        <v>43678</v>
      </c>
      <c r="B188">
        <v>0</v>
      </c>
      <c r="C188">
        <v>0</v>
      </c>
      <c r="D188">
        <v>0</v>
      </c>
      <c r="E188">
        <v>80</v>
      </c>
      <c r="F188">
        <v>11</v>
      </c>
      <c r="G188">
        <v>83</v>
      </c>
      <c r="H188">
        <v>22</v>
      </c>
      <c r="I188">
        <v>0</v>
      </c>
      <c r="J188">
        <v>0</v>
      </c>
      <c r="K188">
        <v>0</v>
      </c>
      <c r="L188">
        <v>30</v>
      </c>
      <c r="M188">
        <v>70</v>
      </c>
      <c r="N188">
        <v>0</v>
      </c>
      <c r="O188">
        <v>11458</v>
      </c>
      <c r="P188">
        <v>1505</v>
      </c>
      <c r="Q188">
        <v>2</v>
      </c>
      <c r="R188">
        <f>SUM(Table10[[#This Row],[FOUR WHEELER (INVALID CARRIAGE)]:[TWO WHEELER(T)]])</f>
        <v>13261</v>
      </c>
    </row>
    <row r="189" spans="1:18" x14ac:dyDescent="0.3">
      <c r="A189" s="1">
        <v>44044</v>
      </c>
      <c r="B189">
        <v>0</v>
      </c>
      <c r="C189">
        <v>0</v>
      </c>
      <c r="D189">
        <v>0</v>
      </c>
      <c r="E189">
        <v>0</v>
      </c>
      <c r="F189">
        <v>0</v>
      </c>
      <c r="G189">
        <v>363</v>
      </c>
      <c r="H189">
        <v>7</v>
      </c>
      <c r="I189">
        <v>0</v>
      </c>
      <c r="J189">
        <v>0</v>
      </c>
      <c r="K189">
        <v>0</v>
      </c>
      <c r="L189">
        <v>130</v>
      </c>
      <c r="M189">
        <v>15</v>
      </c>
      <c r="N189">
        <v>0</v>
      </c>
      <c r="O189">
        <v>5925</v>
      </c>
      <c r="P189">
        <v>2117</v>
      </c>
      <c r="Q189">
        <v>1</v>
      </c>
      <c r="R189">
        <f>SUM(Table10[[#This Row],[FOUR WHEELER (INVALID CARRIAGE)]:[TWO WHEELER(T)]])</f>
        <v>8558</v>
      </c>
    </row>
    <row r="190" spans="1:18" x14ac:dyDescent="0.3">
      <c r="A190" s="1">
        <v>44409</v>
      </c>
      <c r="B190">
        <v>0</v>
      </c>
      <c r="C190">
        <v>0</v>
      </c>
      <c r="D190">
        <v>2</v>
      </c>
      <c r="E190">
        <v>77</v>
      </c>
      <c r="F190">
        <v>85</v>
      </c>
      <c r="G190">
        <v>1082</v>
      </c>
      <c r="H190">
        <v>20</v>
      </c>
      <c r="I190">
        <v>0</v>
      </c>
      <c r="J190">
        <v>3</v>
      </c>
      <c r="K190">
        <v>0</v>
      </c>
      <c r="L190">
        <v>175</v>
      </c>
      <c r="M190">
        <v>20</v>
      </c>
      <c r="N190">
        <v>1</v>
      </c>
      <c r="O190">
        <v>13306</v>
      </c>
      <c r="P190">
        <v>16023</v>
      </c>
      <c r="Q190">
        <v>39</v>
      </c>
      <c r="R190">
        <f>SUM(Table10[[#This Row],[FOUR WHEELER (INVALID CARRIAGE)]:[TWO WHEELER(T)]])</f>
        <v>30833</v>
      </c>
    </row>
    <row r="191" spans="1:18" x14ac:dyDescent="0.3">
      <c r="A191" s="1">
        <v>44774</v>
      </c>
      <c r="B191">
        <v>1</v>
      </c>
      <c r="C191">
        <v>0</v>
      </c>
      <c r="D191">
        <v>0</v>
      </c>
      <c r="E191">
        <v>222</v>
      </c>
      <c r="F191">
        <v>29</v>
      </c>
      <c r="G191">
        <v>2918</v>
      </c>
      <c r="H191">
        <v>452</v>
      </c>
      <c r="I191">
        <v>0</v>
      </c>
      <c r="J191">
        <v>5</v>
      </c>
      <c r="K191">
        <v>0</v>
      </c>
      <c r="L191">
        <v>75</v>
      </c>
      <c r="M191">
        <v>40</v>
      </c>
      <c r="N191">
        <v>1</v>
      </c>
      <c r="O191">
        <v>33040</v>
      </c>
      <c r="P191">
        <v>51956</v>
      </c>
      <c r="Q191">
        <v>272</v>
      </c>
      <c r="R191">
        <f>SUM(Table10[[#This Row],[FOUR WHEELER (INVALID CARRIAGE)]:[TWO WHEELER(T)]])</f>
        <v>89011</v>
      </c>
    </row>
    <row r="192" spans="1:18" x14ac:dyDescent="0.3">
      <c r="A192" s="1">
        <v>45139</v>
      </c>
      <c r="B192">
        <v>3</v>
      </c>
      <c r="C192">
        <v>12</v>
      </c>
      <c r="D192">
        <v>0</v>
      </c>
      <c r="E192">
        <v>247</v>
      </c>
      <c r="F192">
        <v>262</v>
      </c>
      <c r="G192">
        <v>6302</v>
      </c>
      <c r="H192">
        <v>714</v>
      </c>
      <c r="I192">
        <v>0</v>
      </c>
      <c r="J192">
        <v>22</v>
      </c>
      <c r="K192">
        <v>0</v>
      </c>
      <c r="L192">
        <v>0</v>
      </c>
      <c r="M192">
        <v>11</v>
      </c>
      <c r="N192">
        <v>3</v>
      </c>
      <c r="O192">
        <v>56852</v>
      </c>
      <c r="P192">
        <v>62644</v>
      </c>
      <c r="Q192">
        <v>133</v>
      </c>
      <c r="R192">
        <f>SUM(Table10[[#This Row],[FOUR WHEELER (INVALID CARRIAGE)]:[TWO WHEELER(T)]])</f>
        <v>127205</v>
      </c>
    </row>
    <row r="193" spans="1:18" x14ac:dyDescent="0.3">
      <c r="A193" s="1">
        <v>45505</v>
      </c>
      <c r="B193">
        <v>0</v>
      </c>
      <c r="C193">
        <v>0</v>
      </c>
      <c r="D193">
        <v>0</v>
      </c>
      <c r="E193">
        <v>23</v>
      </c>
      <c r="F193">
        <v>14</v>
      </c>
      <c r="G193">
        <v>445</v>
      </c>
      <c r="H193">
        <v>39</v>
      </c>
      <c r="I193">
        <v>0</v>
      </c>
      <c r="J193">
        <v>0</v>
      </c>
      <c r="K193">
        <v>0</v>
      </c>
      <c r="L193">
        <v>0</v>
      </c>
      <c r="M193">
        <v>3</v>
      </c>
      <c r="N193">
        <v>0</v>
      </c>
      <c r="O193">
        <v>4909</v>
      </c>
      <c r="P193">
        <v>3937</v>
      </c>
      <c r="Q193">
        <v>1</v>
      </c>
      <c r="R193">
        <f>SUM(Table10[[#This Row],[FOUR WHEELER (INVALID CARRIAGE)]:[TWO WHEELER(T)]])</f>
        <v>9371</v>
      </c>
    </row>
    <row r="194" spans="1:18" x14ac:dyDescent="0.3">
      <c r="A194" s="1">
        <v>37135</v>
      </c>
      <c r="B194">
        <v>0</v>
      </c>
      <c r="C194">
        <v>1</v>
      </c>
      <c r="D194">
        <v>4</v>
      </c>
      <c r="E194">
        <v>0</v>
      </c>
      <c r="F194">
        <v>49</v>
      </c>
      <c r="G194">
        <v>37</v>
      </c>
      <c r="H194">
        <v>3</v>
      </c>
      <c r="I194">
        <v>0</v>
      </c>
      <c r="J194">
        <v>0</v>
      </c>
      <c r="K194">
        <v>0</v>
      </c>
      <c r="L194">
        <v>3</v>
      </c>
      <c r="M194">
        <v>0</v>
      </c>
      <c r="N194">
        <v>0</v>
      </c>
      <c r="O194">
        <v>6</v>
      </c>
      <c r="P194">
        <v>119</v>
      </c>
      <c r="Q194">
        <v>0</v>
      </c>
      <c r="R194">
        <f>SUM(Table10[[#This Row],[FOUR WHEELER (INVALID CARRIAGE)]:[TWO WHEELER(T)]])</f>
        <v>222</v>
      </c>
    </row>
    <row r="195" spans="1:18" x14ac:dyDescent="0.3">
      <c r="A195" s="1">
        <v>37500</v>
      </c>
      <c r="B195">
        <v>0</v>
      </c>
      <c r="C195">
        <v>0</v>
      </c>
      <c r="D195">
        <v>0</v>
      </c>
      <c r="E195">
        <v>1</v>
      </c>
      <c r="F195">
        <v>26</v>
      </c>
      <c r="G195">
        <v>23</v>
      </c>
      <c r="H195">
        <v>0</v>
      </c>
      <c r="I195">
        <v>1</v>
      </c>
      <c r="J195">
        <v>0</v>
      </c>
      <c r="K195">
        <v>0</v>
      </c>
      <c r="L195">
        <v>0</v>
      </c>
      <c r="M195">
        <v>0</v>
      </c>
      <c r="N195">
        <v>0</v>
      </c>
      <c r="O195">
        <v>6</v>
      </c>
      <c r="P195">
        <v>13</v>
      </c>
      <c r="Q195">
        <v>0</v>
      </c>
      <c r="R195">
        <f>SUM(Table10[[#This Row],[FOUR WHEELER (INVALID CARRIAGE)]:[TWO WHEELER(T)]])</f>
        <v>70</v>
      </c>
    </row>
    <row r="196" spans="1:18" x14ac:dyDescent="0.3">
      <c r="A196" s="1">
        <v>37865</v>
      </c>
      <c r="B196">
        <v>0</v>
      </c>
      <c r="C196">
        <v>0</v>
      </c>
      <c r="D196">
        <v>1</v>
      </c>
      <c r="E196">
        <v>0</v>
      </c>
      <c r="F196">
        <v>6</v>
      </c>
      <c r="G196">
        <v>26</v>
      </c>
      <c r="H196">
        <v>0</v>
      </c>
      <c r="I196">
        <v>0</v>
      </c>
      <c r="J196">
        <v>0</v>
      </c>
      <c r="K196">
        <v>0</v>
      </c>
      <c r="L196">
        <v>0</v>
      </c>
      <c r="M196">
        <v>0</v>
      </c>
      <c r="N196">
        <v>0</v>
      </c>
      <c r="O196">
        <v>1</v>
      </c>
      <c r="P196">
        <v>15</v>
      </c>
      <c r="Q196">
        <v>0</v>
      </c>
      <c r="R196">
        <f>SUM(Table10[[#This Row],[FOUR WHEELER (INVALID CARRIAGE)]:[TWO WHEELER(T)]])</f>
        <v>49</v>
      </c>
    </row>
    <row r="197" spans="1:18" x14ac:dyDescent="0.3">
      <c r="A197" s="1">
        <v>38231</v>
      </c>
      <c r="B197">
        <v>0</v>
      </c>
      <c r="C197">
        <v>0</v>
      </c>
      <c r="D197">
        <v>2</v>
      </c>
      <c r="E197">
        <v>0</v>
      </c>
      <c r="F197">
        <v>4</v>
      </c>
      <c r="G197">
        <v>22</v>
      </c>
      <c r="H197">
        <v>1</v>
      </c>
      <c r="I197">
        <v>0</v>
      </c>
      <c r="J197">
        <v>0</v>
      </c>
      <c r="K197">
        <v>0</v>
      </c>
      <c r="L197">
        <v>0</v>
      </c>
      <c r="M197">
        <v>1</v>
      </c>
      <c r="N197">
        <v>0</v>
      </c>
      <c r="O197">
        <v>2</v>
      </c>
      <c r="P197">
        <v>24</v>
      </c>
      <c r="Q197">
        <v>0</v>
      </c>
      <c r="R197">
        <f>SUM(Table10[[#This Row],[FOUR WHEELER (INVALID CARRIAGE)]:[TWO WHEELER(T)]])</f>
        <v>56</v>
      </c>
    </row>
    <row r="198" spans="1:18" x14ac:dyDescent="0.3">
      <c r="A198" s="1">
        <v>38596</v>
      </c>
      <c r="B198">
        <v>0</v>
      </c>
      <c r="C198">
        <v>2</v>
      </c>
      <c r="D198">
        <v>0</v>
      </c>
      <c r="E198">
        <v>0</v>
      </c>
      <c r="F198">
        <v>11</v>
      </c>
      <c r="G198">
        <v>24</v>
      </c>
      <c r="H198">
        <v>1</v>
      </c>
      <c r="I198">
        <v>0</v>
      </c>
      <c r="J198">
        <v>0</v>
      </c>
      <c r="K198">
        <v>0</v>
      </c>
      <c r="L198">
        <v>1</v>
      </c>
      <c r="M198">
        <v>1</v>
      </c>
      <c r="N198">
        <v>0</v>
      </c>
      <c r="O198">
        <v>2</v>
      </c>
      <c r="P198">
        <v>76</v>
      </c>
      <c r="Q198">
        <v>0</v>
      </c>
      <c r="R198">
        <f>SUM(Table10[[#This Row],[FOUR WHEELER (INVALID CARRIAGE)]:[TWO WHEELER(T)]])</f>
        <v>118</v>
      </c>
    </row>
    <row r="199" spans="1:18" x14ac:dyDescent="0.3">
      <c r="A199" s="1">
        <v>38961</v>
      </c>
      <c r="B199">
        <v>0</v>
      </c>
      <c r="C199">
        <v>1</v>
      </c>
      <c r="D199">
        <v>4</v>
      </c>
      <c r="E199">
        <v>0</v>
      </c>
      <c r="F199">
        <v>49</v>
      </c>
      <c r="G199">
        <v>37</v>
      </c>
      <c r="H199">
        <v>3</v>
      </c>
      <c r="I199">
        <v>0</v>
      </c>
      <c r="J199">
        <v>0</v>
      </c>
      <c r="K199">
        <v>0</v>
      </c>
      <c r="L199">
        <v>3</v>
      </c>
      <c r="M199">
        <v>0</v>
      </c>
      <c r="N199">
        <v>0</v>
      </c>
      <c r="O199">
        <v>6</v>
      </c>
      <c r="P199">
        <v>119</v>
      </c>
      <c r="Q199">
        <v>0</v>
      </c>
      <c r="R199">
        <f>SUM(Table10[[#This Row],[FOUR WHEELER (INVALID CARRIAGE)]:[TWO WHEELER(T)]])</f>
        <v>222</v>
      </c>
    </row>
    <row r="200" spans="1:18" x14ac:dyDescent="0.3">
      <c r="A200" s="1">
        <v>39326</v>
      </c>
      <c r="B200">
        <v>0</v>
      </c>
      <c r="C200">
        <v>1</v>
      </c>
      <c r="D200">
        <v>1</v>
      </c>
      <c r="E200">
        <v>0</v>
      </c>
      <c r="F200">
        <v>5</v>
      </c>
      <c r="G200">
        <v>35</v>
      </c>
      <c r="H200">
        <v>2</v>
      </c>
      <c r="I200">
        <v>0</v>
      </c>
      <c r="J200">
        <v>0</v>
      </c>
      <c r="K200">
        <v>0</v>
      </c>
      <c r="L200">
        <v>0</v>
      </c>
      <c r="M200">
        <v>0</v>
      </c>
      <c r="N200">
        <v>0</v>
      </c>
      <c r="O200">
        <v>7</v>
      </c>
      <c r="P200">
        <v>124</v>
      </c>
      <c r="Q200">
        <v>0</v>
      </c>
      <c r="R200">
        <f>SUM(Table10[[#This Row],[FOUR WHEELER (INVALID CARRIAGE)]:[TWO WHEELER(T)]])</f>
        <v>175</v>
      </c>
    </row>
    <row r="201" spans="1:18" x14ac:dyDescent="0.3">
      <c r="A201" s="1">
        <v>39692</v>
      </c>
      <c r="B201">
        <v>0</v>
      </c>
      <c r="C201">
        <v>1</v>
      </c>
      <c r="D201">
        <v>0</v>
      </c>
      <c r="E201">
        <v>1</v>
      </c>
      <c r="F201">
        <v>2</v>
      </c>
      <c r="G201">
        <v>56</v>
      </c>
      <c r="H201">
        <v>0</v>
      </c>
      <c r="I201">
        <v>0</v>
      </c>
      <c r="J201">
        <v>0</v>
      </c>
      <c r="K201">
        <v>0</v>
      </c>
      <c r="L201">
        <v>0</v>
      </c>
      <c r="M201">
        <v>0</v>
      </c>
      <c r="N201">
        <v>0</v>
      </c>
      <c r="O201">
        <v>6</v>
      </c>
      <c r="P201">
        <v>1145</v>
      </c>
      <c r="Q201">
        <v>0</v>
      </c>
      <c r="R201">
        <f>SUM(Table10[[#This Row],[FOUR WHEELER (INVALID CARRIAGE)]:[TWO WHEELER(T)]])</f>
        <v>1211</v>
      </c>
    </row>
    <row r="202" spans="1:18" x14ac:dyDescent="0.3">
      <c r="A202" s="1">
        <v>40057</v>
      </c>
      <c r="B202">
        <v>0</v>
      </c>
      <c r="C202">
        <v>0</v>
      </c>
      <c r="D202">
        <v>0</v>
      </c>
      <c r="E202">
        <v>0</v>
      </c>
      <c r="F202">
        <v>0</v>
      </c>
      <c r="G202">
        <v>41</v>
      </c>
      <c r="H202">
        <v>2</v>
      </c>
      <c r="I202">
        <v>0</v>
      </c>
      <c r="J202">
        <v>0</v>
      </c>
      <c r="K202">
        <v>0</v>
      </c>
      <c r="L202">
        <v>0</v>
      </c>
      <c r="M202">
        <v>0</v>
      </c>
      <c r="N202">
        <v>0</v>
      </c>
      <c r="O202">
        <v>7</v>
      </c>
      <c r="P202">
        <v>445</v>
      </c>
      <c r="Q202">
        <v>0</v>
      </c>
      <c r="R202">
        <f>SUM(Table10[[#This Row],[FOUR WHEELER (INVALID CARRIAGE)]:[TWO WHEELER(T)]])</f>
        <v>495</v>
      </c>
    </row>
    <row r="203" spans="1:18" x14ac:dyDescent="0.3">
      <c r="A203" s="1">
        <v>40422</v>
      </c>
      <c r="B203">
        <v>0</v>
      </c>
      <c r="C203">
        <v>1</v>
      </c>
      <c r="D203">
        <v>0</v>
      </c>
      <c r="E203">
        <v>0</v>
      </c>
      <c r="F203">
        <v>6</v>
      </c>
      <c r="G203">
        <v>45</v>
      </c>
      <c r="H203">
        <v>1</v>
      </c>
      <c r="I203">
        <v>0</v>
      </c>
      <c r="J203">
        <v>0</v>
      </c>
      <c r="K203">
        <v>0</v>
      </c>
      <c r="L203">
        <v>0</v>
      </c>
      <c r="M203">
        <v>0</v>
      </c>
      <c r="N203">
        <v>0</v>
      </c>
      <c r="O203">
        <v>0</v>
      </c>
      <c r="P203">
        <v>281</v>
      </c>
      <c r="Q203">
        <v>0</v>
      </c>
      <c r="R203">
        <f>SUM(Table10[[#This Row],[FOUR WHEELER (INVALID CARRIAGE)]:[TWO WHEELER(T)]])</f>
        <v>334</v>
      </c>
    </row>
    <row r="204" spans="1:18" x14ac:dyDescent="0.3">
      <c r="A204" s="1">
        <v>40787</v>
      </c>
      <c r="B204">
        <v>0</v>
      </c>
      <c r="C204">
        <v>0</v>
      </c>
      <c r="D204">
        <v>0</v>
      </c>
      <c r="E204">
        <v>0</v>
      </c>
      <c r="F204">
        <v>5</v>
      </c>
      <c r="G204">
        <v>41</v>
      </c>
      <c r="H204">
        <v>1</v>
      </c>
      <c r="I204">
        <v>1</v>
      </c>
      <c r="J204">
        <v>0</v>
      </c>
      <c r="K204">
        <v>0</v>
      </c>
      <c r="L204">
        <v>1</v>
      </c>
      <c r="M204">
        <v>0</v>
      </c>
      <c r="N204">
        <v>0</v>
      </c>
      <c r="O204">
        <v>2</v>
      </c>
      <c r="P204">
        <v>499</v>
      </c>
      <c r="Q204">
        <v>0</v>
      </c>
      <c r="R204">
        <f>SUM(Table10[[#This Row],[FOUR WHEELER (INVALID CARRIAGE)]:[TWO WHEELER(T)]])</f>
        <v>550</v>
      </c>
    </row>
    <row r="205" spans="1:18" x14ac:dyDescent="0.3">
      <c r="A205" s="1">
        <v>41153</v>
      </c>
      <c r="B205">
        <v>0</v>
      </c>
      <c r="C205">
        <v>2</v>
      </c>
      <c r="D205">
        <v>1</v>
      </c>
      <c r="E205">
        <v>0</v>
      </c>
      <c r="F205">
        <v>30</v>
      </c>
      <c r="G205">
        <v>31</v>
      </c>
      <c r="H205">
        <v>2</v>
      </c>
      <c r="I205">
        <v>0</v>
      </c>
      <c r="J205">
        <v>0</v>
      </c>
      <c r="K205">
        <v>1</v>
      </c>
      <c r="L205">
        <v>0</v>
      </c>
      <c r="M205">
        <v>0</v>
      </c>
      <c r="N205">
        <v>0</v>
      </c>
      <c r="O205">
        <v>1</v>
      </c>
      <c r="P205">
        <v>191</v>
      </c>
      <c r="Q205">
        <v>1</v>
      </c>
      <c r="R205">
        <f>SUM(Table10[[#This Row],[FOUR WHEELER (INVALID CARRIAGE)]:[TWO WHEELER(T)]])</f>
        <v>260</v>
      </c>
    </row>
    <row r="206" spans="1:18" x14ac:dyDescent="0.3">
      <c r="A206" s="1">
        <v>41518</v>
      </c>
      <c r="B206">
        <v>0</v>
      </c>
      <c r="C206">
        <v>2</v>
      </c>
      <c r="D206">
        <v>0</v>
      </c>
      <c r="E206">
        <v>0</v>
      </c>
      <c r="F206">
        <v>7</v>
      </c>
      <c r="G206">
        <v>35</v>
      </c>
      <c r="H206">
        <v>1</v>
      </c>
      <c r="I206">
        <v>0</v>
      </c>
      <c r="J206">
        <v>0</v>
      </c>
      <c r="K206">
        <v>1</v>
      </c>
      <c r="L206">
        <v>1</v>
      </c>
      <c r="M206">
        <v>0</v>
      </c>
      <c r="N206">
        <v>0</v>
      </c>
      <c r="O206">
        <v>3</v>
      </c>
      <c r="P206">
        <v>170</v>
      </c>
      <c r="Q206">
        <v>0</v>
      </c>
      <c r="R206">
        <f>SUM(Table10[[#This Row],[FOUR WHEELER (INVALID CARRIAGE)]:[TWO WHEELER(T)]])</f>
        <v>220</v>
      </c>
    </row>
    <row r="207" spans="1:18" x14ac:dyDescent="0.3">
      <c r="A207" s="1">
        <v>41883</v>
      </c>
      <c r="B207">
        <v>0</v>
      </c>
      <c r="C207">
        <v>2</v>
      </c>
      <c r="D207">
        <v>0</v>
      </c>
      <c r="E207">
        <v>0</v>
      </c>
      <c r="F207">
        <v>1</v>
      </c>
      <c r="G207">
        <v>63</v>
      </c>
      <c r="H207">
        <v>2</v>
      </c>
      <c r="I207">
        <v>0</v>
      </c>
      <c r="J207">
        <v>0</v>
      </c>
      <c r="K207">
        <v>0</v>
      </c>
      <c r="L207">
        <v>3</v>
      </c>
      <c r="M207">
        <v>0</v>
      </c>
      <c r="N207">
        <v>0</v>
      </c>
      <c r="O207">
        <v>0</v>
      </c>
      <c r="P207">
        <v>97</v>
      </c>
      <c r="Q207">
        <v>0</v>
      </c>
      <c r="R207">
        <f>SUM(Table10[[#This Row],[FOUR WHEELER (INVALID CARRIAGE)]:[TWO WHEELER(T)]])</f>
        <v>168</v>
      </c>
    </row>
    <row r="208" spans="1:18" x14ac:dyDescent="0.3">
      <c r="A208" s="1">
        <v>42248</v>
      </c>
      <c r="B208">
        <v>0</v>
      </c>
      <c r="C208">
        <v>0</v>
      </c>
      <c r="D208">
        <v>0</v>
      </c>
      <c r="E208">
        <v>0</v>
      </c>
      <c r="F208">
        <v>7</v>
      </c>
      <c r="G208">
        <v>57</v>
      </c>
      <c r="H208">
        <v>6</v>
      </c>
      <c r="I208">
        <v>0</v>
      </c>
      <c r="J208">
        <v>0</v>
      </c>
      <c r="K208">
        <v>0</v>
      </c>
      <c r="L208">
        <v>1</v>
      </c>
      <c r="M208">
        <v>0</v>
      </c>
      <c r="N208">
        <v>0</v>
      </c>
      <c r="O208">
        <v>773</v>
      </c>
      <c r="P208">
        <v>124</v>
      </c>
      <c r="Q208">
        <v>0</v>
      </c>
      <c r="R208">
        <f>SUM(Table10[[#This Row],[FOUR WHEELER (INVALID CARRIAGE)]:[TWO WHEELER(T)]])</f>
        <v>968</v>
      </c>
    </row>
    <row r="209" spans="1:18" x14ac:dyDescent="0.3">
      <c r="A209" s="1">
        <v>42614</v>
      </c>
      <c r="B209">
        <v>0</v>
      </c>
      <c r="C209">
        <v>0</v>
      </c>
      <c r="D209">
        <v>2</v>
      </c>
      <c r="E209">
        <v>0</v>
      </c>
      <c r="F209">
        <v>2</v>
      </c>
      <c r="G209">
        <v>54</v>
      </c>
      <c r="H209">
        <v>2</v>
      </c>
      <c r="I209">
        <v>0</v>
      </c>
      <c r="J209">
        <v>0</v>
      </c>
      <c r="K209">
        <v>0</v>
      </c>
      <c r="L209">
        <v>11</v>
      </c>
      <c r="M209">
        <v>0</v>
      </c>
      <c r="N209">
        <v>0</v>
      </c>
      <c r="O209">
        <v>3998</v>
      </c>
      <c r="P209">
        <v>104</v>
      </c>
      <c r="Q209">
        <v>0</v>
      </c>
      <c r="R209">
        <f>SUM(Table10[[#This Row],[FOUR WHEELER (INVALID CARRIAGE)]:[TWO WHEELER(T)]])</f>
        <v>4173</v>
      </c>
    </row>
    <row r="210" spans="1:18" x14ac:dyDescent="0.3">
      <c r="A210" s="1">
        <v>42979</v>
      </c>
      <c r="B210">
        <v>0</v>
      </c>
      <c r="C210">
        <v>0</v>
      </c>
      <c r="D210">
        <v>0</v>
      </c>
      <c r="E210">
        <v>0</v>
      </c>
      <c r="F210">
        <v>76</v>
      </c>
      <c r="G210">
        <v>107</v>
      </c>
      <c r="H210">
        <v>9</v>
      </c>
      <c r="I210">
        <v>0</v>
      </c>
      <c r="J210">
        <v>0</v>
      </c>
      <c r="K210">
        <v>0</v>
      </c>
      <c r="L210">
        <v>19</v>
      </c>
      <c r="M210">
        <v>3</v>
      </c>
      <c r="N210">
        <v>0</v>
      </c>
      <c r="O210">
        <v>7412</v>
      </c>
      <c r="P210">
        <v>109</v>
      </c>
      <c r="Q210">
        <v>0</v>
      </c>
      <c r="R210">
        <f>SUM(Table10[[#This Row],[FOUR WHEELER (INVALID CARRIAGE)]:[TWO WHEELER(T)]])</f>
        <v>7735</v>
      </c>
    </row>
    <row r="211" spans="1:18" x14ac:dyDescent="0.3">
      <c r="A211" s="1">
        <v>43344</v>
      </c>
      <c r="B211">
        <v>0</v>
      </c>
      <c r="C211">
        <v>0</v>
      </c>
      <c r="D211">
        <v>0</v>
      </c>
      <c r="E211">
        <v>0</v>
      </c>
      <c r="F211">
        <v>33</v>
      </c>
      <c r="G211">
        <v>96</v>
      </c>
      <c r="H211">
        <v>44</v>
      </c>
      <c r="I211">
        <v>0</v>
      </c>
      <c r="J211">
        <v>0</v>
      </c>
      <c r="K211">
        <v>0</v>
      </c>
      <c r="L211">
        <v>30</v>
      </c>
      <c r="M211">
        <v>3</v>
      </c>
      <c r="N211">
        <v>0</v>
      </c>
      <c r="O211">
        <v>11124</v>
      </c>
      <c r="P211">
        <v>2221</v>
      </c>
      <c r="Q211">
        <v>39</v>
      </c>
      <c r="R211">
        <f>SUM(Table10[[#This Row],[FOUR WHEELER (INVALID CARRIAGE)]:[TWO WHEELER(T)]])</f>
        <v>13590</v>
      </c>
    </row>
    <row r="212" spans="1:18" x14ac:dyDescent="0.3">
      <c r="A212" s="1">
        <v>43709</v>
      </c>
      <c r="B212">
        <v>0</v>
      </c>
      <c r="C212">
        <v>0</v>
      </c>
      <c r="D212">
        <v>0</v>
      </c>
      <c r="E212">
        <v>33</v>
      </c>
      <c r="F212">
        <v>0</v>
      </c>
      <c r="G212">
        <v>67</v>
      </c>
      <c r="H212">
        <v>113</v>
      </c>
      <c r="I212">
        <v>0</v>
      </c>
      <c r="J212">
        <v>0</v>
      </c>
      <c r="K212">
        <v>0</v>
      </c>
      <c r="L212">
        <v>33</v>
      </c>
      <c r="M212">
        <v>8</v>
      </c>
      <c r="N212">
        <v>0</v>
      </c>
      <c r="O212">
        <v>14333</v>
      </c>
      <c r="P212">
        <v>1540</v>
      </c>
      <c r="Q212">
        <v>17</v>
      </c>
      <c r="R212">
        <f>SUM(Table10[[#This Row],[FOUR WHEELER (INVALID CARRIAGE)]:[TWO WHEELER(T)]])</f>
        <v>16144</v>
      </c>
    </row>
    <row r="213" spans="1:18" x14ac:dyDescent="0.3">
      <c r="A213" s="1">
        <v>44075</v>
      </c>
      <c r="B213">
        <v>0</v>
      </c>
      <c r="C213">
        <v>0</v>
      </c>
      <c r="D213">
        <v>0</v>
      </c>
      <c r="E213">
        <v>1</v>
      </c>
      <c r="F213">
        <v>3</v>
      </c>
      <c r="G213">
        <v>321</v>
      </c>
      <c r="H213">
        <v>17</v>
      </c>
      <c r="I213">
        <v>0</v>
      </c>
      <c r="J213">
        <v>0</v>
      </c>
      <c r="K213">
        <v>0</v>
      </c>
      <c r="L213">
        <v>171</v>
      </c>
      <c r="M213">
        <v>11</v>
      </c>
      <c r="N213">
        <v>0</v>
      </c>
      <c r="O213">
        <v>7738</v>
      </c>
      <c r="P213">
        <v>3087</v>
      </c>
      <c r="Q213">
        <v>0</v>
      </c>
      <c r="R213">
        <f>SUM(Table10[[#This Row],[FOUR WHEELER (INVALID CARRIAGE)]:[TWO WHEELER(T)]])</f>
        <v>11349</v>
      </c>
    </row>
    <row r="214" spans="1:18" x14ac:dyDescent="0.3">
      <c r="A214" s="1">
        <v>44440</v>
      </c>
      <c r="B214">
        <v>0</v>
      </c>
      <c r="C214">
        <v>0</v>
      </c>
      <c r="D214">
        <v>1</v>
      </c>
      <c r="E214">
        <v>79</v>
      </c>
      <c r="F214">
        <v>29</v>
      </c>
      <c r="G214">
        <v>1182</v>
      </c>
      <c r="H214">
        <v>140</v>
      </c>
      <c r="I214">
        <v>0</v>
      </c>
      <c r="J214">
        <v>0</v>
      </c>
      <c r="K214">
        <v>0</v>
      </c>
      <c r="L214">
        <v>161</v>
      </c>
      <c r="M214">
        <v>20</v>
      </c>
      <c r="N214">
        <v>1</v>
      </c>
      <c r="O214">
        <v>16953</v>
      </c>
      <c r="P214">
        <v>17732</v>
      </c>
      <c r="Q214">
        <v>303</v>
      </c>
      <c r="R214">
        <f>SUM(Table10[[#This Row],[FOUR WHEELER (INVALID CARRIAGE)]:[TWO WHEELER(T)]])</f>
        <v>36601</v>
      </c>
    </row>
    <row r="215" spans="1:18" x14ac:dyDescent="0.3">
      <c r="A215" s="1">
        <v>44805</v>
      </c>
      <c r="B215">
        <v>0</v>
      </c>
      <c r="C215">
        <v>0</v>
      </c>
      <c r="D215">
        <v>0</v>
      </c>
      <c r="E215">
        <v>214</v>
      </c>
      <c r="F215">
        <v>25</v>
      </c>
      <c r="G215">
        <v>3234</v>
      </c>
      <c r="H215">
        <v>318</v>
      </c>
      <c r="I215">
        <v>0</v>
      </c>
      <c r="J215">
        <v>2</v>
      </c>
      <c r="K215">
        <v>0</v>
      </c>
      <c r="L215">
        <v>394</v>
      </c>
      <c r="M215">
        <v>44</v>
      </c>
      <c r="N215">
        <v>1</v>
      </c>
      <c r="O215">
        <v>37393</v>
      </c>
      <c r="P215">
        <v>53090</v>
      </c>
      <c r="Q215">
        <v>199</v>
      </c>
      <c r="R215">
        <f>SUM(Table10[[#This Row],[FOUR WHEELER (INVALID CARRIAGE)]:[TWO WHEELER(T)]])</f>
        <v>94914</v>
      </c>
    </row>
    <row r="216" spans="1:18" x14ac:dyDescent="0.3">
      <c r="A216" s="1">
        <v>45170</v>
      </c>
      <c r="B216">
        <v>5</v>
      </c>
      <c r="C216">
        <v>38</v>
      </c>
      <c r="D216">
        <v>0</v>
      </c>
      <c r="E216">
        <v>193</v>
      </c>
      <c r="F216">
        <v>258</v>
      </c>
      <c r="G216">
        <v>5765</v>
      </c>
      <c r="H216">
        <v>596</v>
      </c>
      <c r="I216">
        <v>0</v>
      </c>
      <c r="J216">
        <v>65</v>
      </c>
      <c r="K216">
        <v>0</v>
      </c>
      <c r="L216">
        <v>0</v>
      </c>
      <c r="M216">
        <v>10</v>
      </c>
      <c r="N216">
        <v>1</v>
      </c>
      <c r="O216">
        <v>57541</v>
      </c>
      <c r="P216">
        <v>63222</v>
      </c>
      <c r="Q216">
        <v>863</v>
      </c>
      <c r="R216">
        <f>SUM(Table10[[#This Row],[FOUR WHEELER (INVALID CARRIAGE)]:[TWO WHEELER(T)]])</f>
        <v>128557</v>
      </c>
    </row>
    <row r="217" spans="1:18" x14ac:dyDescent="0.3">
      <c r="A217" s="1">
        <v>37165</v>
      </c>
      <c r="B217">
        <v>0</v>
      </c>
      <c r="C217">
        <v>0</v>
      </c>
      <c r="D217">
        <v>1</v>
      </c>
      <c r="E217">
        <v>0</v>
      </c>
      <c r="F217">
        <v>5</v>
      </c>
      <c r="G217">
        <v>19</v>
      </c>
      <c r="H217">
        <v>3</v>
      </c>
      <c r="I217">
        <v>0</v>
      </c>
      <c r="J217">
        <v>0</v>
      </c>
      <c r="K217">
        <v>0</v>
      </c>
      <c r="L217">
        <v>0</v>
      </c>
      <c r="M217">
        <v>0</v>
      </c>
      <c r="N217">
        <v>0</v>
      </c>
      <c r="O217">
        <v>1</v>
      </c>
      <c r="P217">
        <v>80</v>
      </c>
      <c r="Q217">
        <v>0</v>
      </c>
      <c r="R217">
        <f>SUM(Table10[[#This Row],[FOUR WHEELER (INVALID CARRIAGE)]:[TWO WHEELER(T)]])</f>
        <v>109</v>
      </c>
    </row>
    <row r="218" spans="1:18" x14ac:dyDescent="0.3">
      <c r="A218" s="1">
        <v>37530</v>
      </c>
      <c r="B218">
        <v>0</v>
      </c>
      <c r="C218">
        <v>1</v>
      </c>
      <c r="D218">
        <v>0</v>
      </c>
      <c r="E218">
        <v>6</v>
      </c>
      <c r="F218">
        <v>37</v>
      </c>
      <c r="G218">
        <v>8</v>
      </c>
      <c r="H218">
        <v>2</v>
      </c>
      <c r="I218">
        <v>0</v>
      </c>
      <c r="J218">
        <v>0</v>
      </c>
      <c r="K218">
        <v>0</v>
      </c>
      <c r="L218">
        <v>0</v>
      </c>
      <c r="M218">
        <v>0</v>
      </c>
      <c r="N218">
        <v>0</v>
      </c>
      <c r="O218">
        <v>5</v>
      </c>
      <c r="P218">
        <v>13</v>
      </c>
      <c r="Q218">
        <v>0</v>
      </c>
      <c r="R218">
        <f>SUM(Table10[[#This Row],[FOUR WHEELER (INVALID CARRIAGE)]:[TWO WHEELER(T)]])</f>
        <v>72</v>
      </c>
    </row>
    <row r="219" spans="1:18" x14ac:dyDescent="0.3">
      <c r="A219" s="1">
        <v>37895</v>
      </c>
      <c r="B219">
        <v>0</v>
      </c>
      <c r="C219">
        <v>2</v>
      </c>
      <c r="D219">
        <v>0</v>
      </c>
      <c r="E219">
        <v>0</v>
      </c>
      <c r="F219">
        <v>10</v>
      </c>
      <c r="G219">
        <v>24</v>
      </c>
      <c r="H219">
        <v>0</v>
      </c>
      <c r="I219">
        <v>0</v>
      </c>
      <c r="J219">
        <v>0</v>
      </c>
      <c r="K219">
        <v>0</v>
      </c>
      <c r="L219">
        <v>0</v>
      </c>
      <c r="M219">
        <v>0</v>
      </c>
      <c r="N219">
        <v>0</v>
      </c>
      <c r="O219">
        <v>0</v>
      </c>
      <c r="P219">
        <v>13</v>
      </c>
      <c r="Q219">
        <v>0</v>
      </c>
      <c r="R219">
        <f>SUM(Table10[[#This Row],[FOUR WHEELER (INVALID CARRIAGE)]:[TWO WHEELER(T)]])</f>
        <v>49</v>
      </c>
    </row>
    <row r="220" spans="1:18" x14ac:dyDescent="0.3">
      <c r="A220" s="1">
        <v>38261</v>
      </c>
      <c r="B220">
        <v>0</v>
      </c>
      <c r="C220">
        <v>0</v>
      </c>
      <c r="D220">
        <v>1</v>
      </c>
      <c r="E220">
        <v>0</v>
      </c>
      <c r="F220">
        <v>7</v>
      </c>
      <c r="G220">
        <v>24</v>
      </c>
      <c r="H220">
        <v>0</v>
      </c>
      <c r="I220">
        <v>0</v>
      </c>
      <c r="J220">
        <v>0</v>
      </c>
      <c r="K220">
        <v>0</v>
      </c>
      <c r="L220">
        <v>0</v>
      </c>
      <c r="M220">
        <v>0</v>
      </c>
      <c r="N220">
        <v>0</v>
      </c>
      <c r="O220">
        <v>1</v>
      </c>
      <c r="P220">
        <v>25</v>
      </c>
      <c r="Q220">
        <v>0</v>
      </c>
      <c r="R220">
        <f>SUM(Table10[[#This Row],[FOUR WHEELER (INVALID CARRIAGE)]:[TWO WHEELER(T)]])</f>
        <v>58</v>
      </c>
    </row>
    <row r="221" spans="1:18" x14ac:dyDescent="0.3">
      <c r="A221" s="1">
        <v>38626</v>
      </c>
      <c r="B221">
        <v>0</v>
      </c>
      <c r="C221">
        <v>0</v>
      </c>
      <c r="D221">
        <v>1</v>
      </c>
      <c r="E221">
        <v>1</v>
      </c>
      <c r="F221">
        <v>2</v>
      </c>
      <c r="G221">
        <v>21</v>
      </c>
      <c r="H221">
        <v>0</v>
      </c>
      <c r="I221">
        <v>0</v>
      </c>
      <c r="J221">
        <v>0</v>
      </c>
      <c r="K221">
        <v>1</v>
      </c>
      <c r="L221">
        <v>0</v>
      </c>
      <c r="M221">
        <v>0</v>
      </c>
      <c r="N221">
        <v>0</v>
      </c>
      <c r="O221">
        <v>2</v>
      </c>
      <c r="P221">
        <v>86</v>
      </c>
      <c r="Q221">
        <v>0</v>
      </c>
      <c r="R221">
        <f>SUM(Table10[[#This Row],[FOUR WHEELER (INVALID CARRIAGE)]:[TWO WHEELER(T)]])</f>
        <v>114</v>
      </c>
    </row>
    <row r="222" spans="1:18" x14ac:dyDescent="0.3">
      <c r="A222" s="1">
        <v>38991</v>
      </c>
      <c r="B222">
        <v>0</v>
      </c>
      <c r="C222">
        <v>0</v>
      </c>
      <c r="D222">
        <v>1</v>
      </c>
      <c r="E222">
        <v>0</v>
      </c>
      <c r="F222">
        <v>5</v>
      </c>
      <c r="G222">
        <v>19</v>
      </c>
      <c r="H222">
        <v>3</v>
      </c>
      <c r="I222">
        <v>0</v>
      </c>
      <c r="J222">
        <v>0</v>
      </c>
      <c r="K222">
        <v>0</v>
      </c>
      <c r="L222">
        <v>0</v>
      </c>
      <c r="M222">
        <v>0</v>
      </c>
      <c r="N222">
        <v>0</v>
      </c>
      <c r="O222">
        <v>1</v>
      </c>
      <c r="P222">
        <v>80</v>
      </c>
      <c r="Q222">
        <v>0</v>
      </c>
      <c r="R222">
        <f>SUM(Table10[[#This Row],[FOUR WHEELER (INVALID CARRIAGE)]:[TWO WHEELER(T)]])</f>
        <v>109</v>
      </c>
    </row>
    <row r="223" spans="1:18" x14ac:dyDescent="0.3">
      <c r="A223" s="1">
        <v>39356</v>
      </c>
      <c r="B223">
        <v>0</v>
      </c>
      <c r="C223">
        <v>0</v>
      </c>
      <c r="D223">
        <v>2</v>
      </c>
      <c r="E223">
        <v>0</v>
      </c>
      <c r="F223">
        <v>2</v>
      </c>
      <c r="G223">
        <v>37</v>
      </c>
      <c r="H223">
        <v>2</v>
      </c>
      <c r="I223">
        <v>0</v>
      </c>
      <c r="J223">
        <v>0</v>
      </c>
      <c r="K223">
        <v>0</v>
      </c>
      <c r="L223">
        <v>0</v>
      </c>
      <c r="M223">
        <v>0</v>
      </c>
      <c r="N223">
        <v>0</v>
      </c>
      <c r="O223">
        <v>9</v>
      </c>
      <c r="P223">
        <v>276</v>
      </c>
      <c r="Q223">
        <v>0</v>
      </c>
      <c r="R223">
        <f>SUM(Table10[[#This Row],[FOUR WHEELER (INVALID CARRIAGE)]:[TWO WHEELER(T)]])</f>
        <v>328</v>
      </c>
    </row>
    <row r="224" spans="1:18" x14ac:dyDescent="0.3">
      <c r="A224" s="1">
        <v>39722</v>
      </c>
      <c r="B224">
        <v>0</v>
      </c>
      <c r="C224">
        <v>0</v>
      </c>
      <c r="D224">
        <v>0</v>
      </c>
      <c r="E224">
        <v>0</v>
      </c>
      <c r="F224">
        <v>3</v>
      </c>
      <c r="G224">
        <v>45</v>
      </c>
      <c r="H224">
        <v>0</v>
      </c>
      <c r="I224">
        <v>0</v>
      </c>
      <c r="J224">
        <v>0</v>
      </c>
      <c r="K224">
        <v>0</v>
      </c>
      <c r="L224">
        <v>0</v>
      </c>
      <c r="M224">
        <v>0</v>
      </c>
      <c r="N224">
        <v>0</v>
      </c>
      <c r="O224">
        <v>2</v>
      </c>
      <c r="P224">
        <v>1170</v>
      </c>
      <c r="Q224">
        <v>0</v>
      </c>
      <c r="R224">
        <f>SUM(Table10[[#This Row],[FOUR WHEELER (INVALID CARRIAGE)]:[TWO WHEELER(T)]])</f>
        <v>1220</v>
      </c>
    </row>
    <row r="225" spans="1:18" x14ac:dyDescent="0.3">
      <c r="A225" s="1">
        <v>40087</v>
      </c>
      <c r="B225">
        <v>0</v>
      </c>
      <c r="C225">
        <v>0</v>
      </c>
      <c r="D225">
        <v>0</v>
      </c>
      <c r="E225">
        <v>0</v>
      </c>
      <c r="F225">
        <v>3</v>
      </c>
      <c r="G225">
        <v>34</v>
      </c>
      <c r="H225">
        <v>0</v>
      </c>
      <c r="I225">
        <v>0</v>
      </c>
      <c r="J225">
        <v>0</v>
      </c>
      <c r="K225">
        <v>0</v>
      </c>
      <c r="L225">
        <v>0</v>
      </c>
      <c r="M225">
        <v>0</v>
      </c>
      <c r="N225">
        <v>0</v>
      </c>
      <c r="O225">
        <v>2</v>
      </c>
      <c r="P225">
        <v>571</v>
      </c>
      <c r="Q225">
        <v>0</v>
      </c>
      <c r="R225">
        <f>SUM(Table10[[#This Row],[FOUR WHEELER (INVALID CARRIAGE)]:[TWO WHEELER(T)]])</f>
        <v>610</v>
      </c>
    </row>
    <row r="226" spans="1:18" x14ac:dyDescent="0.3">
      <c r="A226" s="1">
        <v>40452</v>
      </c>
      <c r="B226">
        <v>0</v>
      </c>
      <c r="C226">
        <v>2</v>
      </c>
      <c r="D226">
        <v>1</v>
      </c>
      <c r="E226">
        <v>0</v>
      </c>
      <c r="F226">
        <v>6</v>
      </c>
      <c r="G226">
        <v>33</v>
      </c>
      <c r="H226">
        <v>1</v>
      </c>
      <c r="I226">
        <v>0</v>
      </c>
      <c r="J226">
        <v>0</v>
      </c>
      <c r="K226">
        <v>0</v>
      </c>
      <c r="L226">
        <v>1</v>
      </c>
      <c r="M226">
        <v>0</v>
      </c>
      <c r="N226">
        <v>0</v>
      </c>
      <c r="O226">
        <v>1</v>
      </c>
      <c r="P226">
        <v>293</v>
      </c>
      <c r="Q226">
        <v>1</v>
      </c>
      <c r="R226">
        <f>SUM(Table10[[#This Row],[FOUR WHEELER (INVALID CARRIAGE)]:[TWO WHEELER(T)]])</f>
        <v>339</v>
      </c>
    </row>
    <row r="227" spans="1:18" x14ac:dyDescent="0.3">
      <c r="A227" s="1">
        <v>40817</v>
      </c>
      <c r="B227">
        <v>0</v>
      </c>
      <c r="C227">
        <v>2</v>
      </c>
      <c r="D227">
        <v>1</v>
      </c>
      <c r="E227">
        <v>0</v>
      </c>
      <c r="F227">
        <v>4</v>
      </c>
      <c r="G227">
        <v>47</v>
      </c>
      <c r="H227">
        <v>0</v>
      </c>
      <c r="I227">
        <v>0</v>
      </c>
      <c r="J227">
        <v>0</v>
      </c>
      <c r="K227">
        <v>0</v>
      </c>
      <c r="L227">
        <v>2</v>
      </c>
      <c r="M227">
        <v>1</v>
      </c>
      <c r="N227">
        <v>0</v>
      </c>
      <c r="O227">
        <v>1</v>
      </c>
      <c r="P227">
        <v>572</v>
      </c>
      <c r="Q227">
        <v>0</v>
      </c>
      <c r="R227">
        <f>SUM(Table10[[#This Row],[FOUR WHEELER (INVALID CARRIAGE)]:[TWO WHEELER(T)]])</f>
        <v>630</v>
      </c>
    </row>
    <row r="228" spans="1:18" x14ac:dyDescent="0.3">
      <c r="A228" s="1">
        <v>41183</v>
      </c>
      <c r="B228">
        <v>0</v>
      </c>
      <c r="C228">
        <v>0</v>
      </c>
      <c r="D228">
        <v>0</v>
      </c>
      <c r="E228">
        <v>0</v>
      </c>
      <c r="F228">
        <v>14</v>
      </c>
      <c r="G228">
        <v>22</v>
      </c>
      <c r="H228">
        <v>0</v>
      </c>
      <c r="I228">
        <v>0</v>
      </c>
      <c r="J228">
        <v>0</v>
      </c>
      <c r="K228">
        <v>0</v>
      </c>
      <c r="L228">
        <v>1</v>
      </c>
      <c r="M228">
        <v>0</v>
      </c>
      <c r="N228">
        <v>0</v>
      </c>
      <c r="O228">
        <v>3</v>
      </c>
      <c r="P228">
        <v>203</v>
      </c>
      <c r="Q228">
        <v>0</v>
      </c>
      <c r="R228">
        <f>SUM(Table10[[#This Row],[FOUR WHEELER (INVALID CARRIAGE)]:[TWO WHEELER(T)]])</f>
        <v>243</v>
      </c>
    </row>
    <row r="229" spans="1:18" x14ac:dyDescent="0.3">
      <c r="A229" s="1">
        <v>41548</v>
      </c>
      <c r="B229">
        <v>0</v>
      </c>
      <c r="C229">
        <v>0</v>
      </c>
      <c r="D229">
        <v>0</v>
      </c>
      <c r="E229">
        <v>0</v>
      </c>
      <c r="F229">
        <v>9</v>
      </c>
      <c r="G229">
        <v>53</v>
      </c>
      <c r="H229">
        <v>7</v>
      </c>
      <c r="I229">
        <v>0</v>
      </c>
      <c r="J229">
        <v>0</v>
      </c>
      <c r="K229">
        <v>0</v>
      </c>
      <c r="L229">
        <v>0</v>
      </c>
      <c r="M229">
        <v>0</v>
      </c>
      <c r="N229">
        <v>0</v>
      </c>
      <c r="O229">
        <v>2</v>
      </c>
      <c r="P229">
        <v>176</v>
      </c>
      <c r="Q229">
        <v>0</v>
      </c>
      <c r="R229">
        <f>SUM(Table10[[#This Row],[FOUR WHEELER (INVALID CARRIAGE)]:[TWO WHEELER(T)]])</f>
        <v>247</v>
      </c>
    </row>
    <row r="230" spans="1:18" x14ac:dyDescent="0.3">
      <c r="A230" s="1">
        <v>41913</v>
      </c>
      <c r="B230">
        <v>0</v>
      </c>
      <c r="C230">
        <v>0</v>
      </c>
      <c r="D230">
        <v>0</v>
      </c>
      <c r="E230">
        <v>0</v>
      </c>
      <c r="F230">
        <v>1</v>
      </c>
      <c r="G230">
        <v>63</v>
      </c>
      <c r="H230">
        <v>0</v>
      </c>
      <c r="I230">
        <v>0</v>
      </c>
      <c r="J230">
        <v>0</v>
      </c>
      <c r="K230">
        <v>0</v>
      </c>
      <c r="L230">
        <v>0</v>
      </c>
      <c r="M230">
        <v>0</v>
      </c>
      <c r="N230">
        <v>0</v>
      </c>
      <c r="O230">
        <v>0</v>
      </c>
      <c r="P230">
        <v>123</v>
      </c>
      <c r="Q230">
        <v>0</v>
      </c>
      <c r="R230">
        <f>SUM(Table10[[#This Row],[FOUR WHEELER (INVALID CARRIAGE)]:[TWO WHEELER(T)]])</f>
        <v>187</v>
      </c>
    </row>
    <row r="231" spans="1:18" x14ac:dyDescent="0.3">
      <c r="A231" s="1">
        <v>42278</v>
      </c>
      <c r="B231">
        <v>0</v>
      </c>
      <c r="C231">
        <v>1</v>
      </c>
      <c r="D231">
        <v>0</v>
      </c>
      <c r="E231">
        <v>0</v>
      </c>
      <c r="F231">
        <v>5</v>
      </c>
      <c r="G231">
        <v>57</v>
      </c>
      <c r="H231">
        <v>9</v>
      </c>
      <c r="I231">
        <v>0</v>
      </c>
      <c r="J231">
        <v>0</v>
      </c>
      <c r="K231">
        <v>0</v>
      </c>
      <c r="L231">
        <v>13</v>
      </c>
      <c r="M231">
        <v>0</v>
      </c>
      <c r="N231">
        <v>0</v>
      </c>
      <c r="O231">
        <v>849</v>
      </c>
      <c r="P231">
        <v>138</v>
      </c>
      <c r="Q231">
        <v>0</v>
      </c>
      <c r="R231">
        <f>SUM(Table10[[#This Row],[FOUR WHEELER (INVALID CARRIAGE)]:[TWO WHEELER(T)]])</f>
        <v>1072</v>
      </c>
    </row>
    <row r="232" spans="1:18" x14ac:dyDescent="0.3">
      <c r="A232" s="1">
        <v>42644</v>
      </c>
      <c r="B232">
        <v>0</v>
      </c>
      <c r="C232">
        <v>1</v>
      </c>
      <c r="D232">
        <v>3</v>
      </c>
      <c r="E232">
        <v>1</v>
      </c>
      <c r="F232">
        <v>21</v>
      </c>
      <c r="G232">
        <v>79</v>
      </c>
      <c r="H232">
        <v>1</v>
      </c>
      <c r="I232">
        <v>0</v>
      </c>
      <c r="J232">
        <v>0</v>
      </c>
      <c r="K232">
        <v>0</v>
      </c>
      <c r="L232">
        <v>23</v>
      </c>
      <c r="M232">
        <v>0</v>
      </c>
      <c r="N232">
        <v>0</v>
      </c>
      <c r="O232">
        <v>6063</v>
      </c>
      <c r="P232">
        <v>142</v>
      </c>
      <c r="Q232">
        <v>0</v>
      </c>
      <c r="R232">
        <f>SUM(Table10[[#This Row],[FOUR WHEELER (INVALID CARRIAGE)]:[TWO WHEELER(T)]])</f>
        <v>6334</v>
      </c>
    </row>
    <row r="233" spans="1:18" x14ac:dyDescent="0.3">
      <c r="A233" s="1">
        <v>43009</v>
      </c>
      <c r="B233">
        <v>0</v>
      </c>
      <c r="C233">
        <v>0</v>
      </c>
      <c r="D233">
        <v>0</v>
      </c>
      <c r="E233">
        <v>0</v>
      </c>
      <c r="F233">
        <v>80</v>
      </c>
      <c r="G233">
        <v>104</v>
      </c>
      <c r="H233">
        <v>29</v>
      </c>
      <c r="I233">
        <v>0</v>
      </c>
      <c r="J233">
        <v>0</v>
      </c>
      <c r="K233">
        <v>0</v>
      </c>
      <c r="L233">
        <v>36</v>
      </c>
      <c r="M233">
        <v>3</v>
      </c>
      <c r="N233">
        <v>0</v>
      </c>
      <c r="O233">
        <v>7248</v>
      </c>
      <c r="P233">
        <v>160</v>
      </c>
      <c r="Q233">
        <v>0</v>
      </c>
      <c r="R233">
        <f>SUM(Table10[[#This Row],[FOUR WHEELER (INVALID CARRIAGE)]:[TWO WHEELER(T)]])</f>
        <v>7660</v>
      </c>
    </row>
    <row r="234" spans="1:18" x14ac:dyDescent="0.3">
      <c r="A234" s="1">
        <v>43374</v>
      </c>
      <c r="B234">
        <v>0</v>
      </c>
      <c r="C234">
        <v>0</v>
      </c>
      <c r="D234">
        <v>0</v>
      </c>
      <c r="E234">
        <v>1</v>
      </c>
      <c r="F234">
        <v>15</v>
      </c>
      <c r="G234">
        <v>56</v>
      </c>
      <c r="H234">
        <v>19</v>
      </c>
      <c r="I234">
        <v>0</v>
      </c>
      <c r="J234">
        <v>0</v>
      </c>
      <c r="K234">
        <v>0</v>
      </c>
      <c r="L234">
        <v>32</v>
      </c>
      <c r="M234">
        <v>2</v>
      </c>
      <c r="N234">
        <v>3</v>
      </c>
      <c r="O234">
        <v>12300</v>
      </c>
      <c r="P234">
        <v>2560</v>
      </c>
      <c r="Q234">
        <v>2</v>
      </c>
      <c r="R234">
        <f>SUM(Table10[[#This Row],[FOUR WHEELER (INVALID CARRIAGE)]:[TWO WHEELER(T)]])</f>
        <v>14990</v>
      </c>
    </row>
    <row r="235" spans="1:18" x14ac:dyDescent="0.3">
      <c r="A235" s="1">
        <v>43739</v>
      </c>
      <c r="B235">
        <v>0</v>
      </c>
      <c r="C235">
        <v>0</v>
      </c>
      <c r="D235">
        <v>0</v>
      </c>
      <c r="E235">
        <v>42</v>
      </c>
      <c r="F235">
        <v>1</v>
      </c>
      <c r="G235">
        <v>82</v>
      </c>
      <c r="H235">
        <v>112</v>
      </c>
      <c r="I235">
        <v>0</v>
      </c>
      <c r="J235">
        <v>40</v>
      </c>
      <c r="K235">
        <v>0</v>
      </c>
      <c r="L235">
        <v>44</v>
      </c>
      <c r="M235">
        <v>9</v>
      </c>
      <c r="N235">
        <v>0</v>
      </c>
      <c r="O235">
        <v>13252</v>
      </c>
      <c r="P235">
        <v>2082</v>
      </c>
      <c r="Q235">
        <v>55</v>
      </c>
      <c r="R235">
        <f>SUM(Table10[[#This Row],[FOUR WHEELER (INVALID CARRIAGE)]:[TWO WHEELER(T)]])</f>
        <v>15719</v>
      </c>
    </row>
    <row r="236" spans="1:18" x14ac:dyDescent="0.3">
      <c r="A236" s="1">
        <v>44105</v>
      </c>
      <c r="B236">
        <v>0</v>
      </c>
      <c r="C236">
        <v>0</v>
      </c>
      <c r="D236">
        <v>0</v>
      </c>
      <c r="E236">
        <v>8</v>
      </c>
      <c r="F236">
        <v>1</v>
      </c>
      <c r="G236">
        <v>459</v>
      </c>
      <c r="H236">
        <v>8</v>
      </c>
      <c r="I236">
        <v>0</v>
      </c>
      <c r="J236">
        <v>0</v>
      </c>
      <c r="K236">
        <v>0</v>
      </c>
      <c r="L236">
        <v>79</v>
      </c>
      <c r="M236">
        <v>18</v>
      </c>
      <c r="N236">
        <v>0</v>
      </c>
      <c r="O236">
        <v>7930</v>
      </c>
      <c r="P236">
        <v>2537</v>
      </c>
      <c r="Q236">
        <v>420</v>
      </c>
      <c r="R236">
        <f>SUM(Table10[[#This Row],[FOUR WHEELER (INVALID CARRIAGE)]:[TWO WHEELER(T)]])</f>
        <v>11460</v>
      </c>
    </row>
    <row r="237" spans="1:18" x14ac:dyDescent="0.3">
      <c r="A237" s="1">
        <v>44470</v>
      </c>
      <c r="B237">
        <v>0</v>
      </c>
      <c r="C237">
        <v>0</v>
      </c>
      <c r="D237">
        <v>0</v>
      </c>
      <c r="E237">
        <v>83</v>
      </c>
      <c r="F237">
        <v>24</v>
      </c>
      <c r="G237">
        <v>1259</v>
      </c>
      <c r="H237">
        <v>122</v>
      </c>
      <c r="I237">
        <v>0</v>
      </c>
      <c r="J237">
        <v>1</v>
      </c>
      <c r="K237">
        <v>0</v>
      </c>
      <c r="L237">
        <v>127</v>
      </c>
      <c r="M237">
        <v>28</v>
      </c>
      <c r="N237">
        <v>0</v>
      </c>
      <c r="O237">
        <v>18495</v>
      </c>
      <c r="P237">
        <v>20558</v>
      </c>
      <c r="Q237">
        <v>264</v>
      </c>
      <c r="R237">
        <f>SUM(Table10[[#This Row],[FOUR WHEELER (INVALID CARRIAGE)]:[TWO WHEELER(T)]])</f>
        <v>40961</v>
      </c>
    </row>
    <row r="238" spans="1:18" x14ac:dyDescent="0.3">
      <c r="A238" s="1">
        <v>44835</v>
      </c>
      <c r="B238">
        <v>2</v>
      </c>
      <c r="C238">
        <v>0</v>
      </c>
      <c r="D238">
        <v>0</v>
      </c>
      <c r="E238">
        <v>245</v>
      </c>
      <c r="F238">
        <v>22</v>
      </c>
      <c r="G238">
        <v>3309</v>
      </c>
      <c r="H238">
        <v>607</v>
      </c>
      <c r="I238">
        <v>0</v>
      </c>
      <c r="J238">
        <v>0</v>
      </c>
      <c r="K238">
        <v>0</v>
      </c>
      <c r="L238">
        <v>109</v>
      </c>
      <c r="M238">
        <v>43</v>
      </c>
      <c r="N238">
        <v>2</v>
      </c>
      <c r="O238">
        <v>35889</v>
      </c>
      <c r="P238">
        <v>76759</v>
      </c>
      <c r="Q238">
        <v>510</v>
      </c>
      <c r="R238">
        <f>SUM(Table10[[#This Row],[FOUR WHEELER (INVALID CARRIAGE)]:[TWO WHEELER(T)]])</f>
        <v>117497</v>
      </c>
    </row>
    <row r="239" spans="1:18" x14ac:dyDescent="0.3">
      <c r="A239" s="1">
        <v>45200</v>
      </c>
      <c r="B239">
        <v>4</v>
      </c>
      <c r="C239">
        <v>2</v>
      </c>
      <c r="D239">
        <v>0</v>
      </c>
      <c r="E239">
        <v>203</v>
      </c>
      <c r="F239">
        <v>340</v>
      </c>
      <c r="G239">
        <v>6445</v>
      </c>
      <c r="H239">
        <v>1159</v>
      </c>
      <c r="I239">
        <v>0</v>
      </c>
      <c r="J239">
        <v>36</v>
      </c>
      <c r="K239">
        <v>2</v>
      </c>
      <c r="L239">
        <v>0</v>
      </c>
      <c r="M239">
        <v>19</v>
      </c>
      <c r="N239">
        <v>9</v>
      </c>
      <c r="O239">
        <v>56988</v>
      </c>
      <c r="P239">
        <v>75094</v>
      </c>
      <c r="Q239">
        <v>67</v>
      </c>
      <c r="R239">
        <f>SUM(Table10[[#This Row],[FOUR WHEELER (INVALID CARRIAGE)]:[TWO WHEELER(T)]])</f>
        <v>140368</v>
      </c>
    </row>
    <row r="240" spans="1:18" x14ac:dyDescent="0.3">
      <c r="A240" s="1">
        <v>37196</v>
      </c>
      <c r="B240">
        <v>0</v>
      </c>
      <c r="C240">
        <v>1</v>
      </c>
      <c r="D240">
        <v>6</v>
      </c>
      <c r="E240">
        <v>0</v>
      </c>
      <c r="F240">
        <v>6</v>
      </c>
      <c r="G240">
        <v>27</v>
      </c>
      <c r="H240">
        <v>1</v>
      </c>
      <c r="I240">
        <v>1</v>
      </c>
      <c r="J240">
        <v>0</v>
      </c>
      <c r="K240">
        <v>0</v>
      </c>
      <c r="L240">
        <v>0</v>
      </c>
      <c r="M240">
        <v>1</v>
      </c>
      <c r="N240">
        <v>0</v>
      </c>
      <c r="O240">
        <v>2</v>
      </c>
      <c r="P240">
        <v>96</v>
      </c>
      <c r="Q240">
        <v>0</v>
      </c>
      <c r="R240">
        <f>SUM(Table10[[#This Row],[FOUR WHEELER (INVALID CARRIAGE)]:[TWO WHEELER(T)]])</f>
        <v>141</v>
      </c>
    </row>
    <row r="241" spans="1:18" x14ac:dyDescent="0.3">
      <c r="A241" s="1">
        <v>37561</v>
      </c>
      <c r="B241">
        <v>0</v>
      </c>
      <c r="C241">
        <v>0</v>
      </c>
      <c r="D241">
        <v>2</v>
      </c>
      <c r="E241">
        <v>0</v>
      </c>
      <c r="F241">
        <v>44</v>
      </c>
      <c r="G241">
        <v>16</v>
      </c>
      <c r="H241">
        <v>1</v>
      </c>
      <c r="I241">
        <v>0</v>
      </c>
      <c r="J241">
        <v>0</v>
      </c>
      <c r="K241">
        <v>0</v>
      </c>
      <c r="L241">
        <v>0</v>
      </c>
      <c r="M241">
        <v>0</v>
      </c>
      <c r="N241">
        <v>0</v>
      </c>
      <c r="O241">
        <v>4</v>
      </c>
      <c r="P241">
        <v>12</v>
      </c>
      <c r="Q241">
        <v>0</v>
      </c>
      <c r="R241">
        <f>SUM(Table10[[#This Row],[FOUR WHEELER (INVALID CARRIAGE)]:[TWO WHEELER(T)]])</f>
        <v>79</v>
      </c>
    </row>
    <row r="242" spans="1:18" x14ac:dyDescent="0.3">
      <c r="A242" s="1">
        <v>37926</v>
      </c>
      <c r="B242">
        <v>0</v>
      </c>
      <c r="C242">
        <v>0</v>
      </c>
      <c r="D242">
        <v>0</v>
      </c>
      <c r="E242">
        <v>1</v>
      </c>
      <c r="F242">
        <v>8</v>
      </c>
      <c r="G242">
        <v>15</v>
      </c>
      <c r="H242">
        <v>0</v>
      </c>
      <c r="I242">
        <v>0</v>
      </c>
      <c r="J242">
        <v>1</v>
      </c>
      <c r="K242">
        <v>0</v>
      </c>
      <c r="L242">
        <v>0</v>
      </c>
      <c r="M242">
        <v>4</v>
      </c>
      <c r="N242">
        <v>0</v>
      </c>
      <c r="O242">
        <v>0</v>
      </c>
      <c r="P242">
        <v>6</v>
      </c>
      <c r="Q242">
        <v>0</v>
      </c>
      <c r="R242">
        <f>SUM(Table10[[#This Row],[FOUR WHEELER (INVALID CARRIAGE)]:[TWO WHEELER(T)]])</f>
        <v>35</v>
      </c>
    </row>
    <row r="243" spans="1:18" x14ac:dyDescent="0.3">
      <c r="A243" s="1">
        <v>38292</v>
      </c>
      <c r="B243">
        <v>0</v>
      </c>
      <c r="C243">
        <v>0</v>
      </c>
      <c r="D243">
        <v>0</v>
      </c>
      <c r="E243">
        <v>0</v>
      </c>
      <c r="F243">
        <v>6</v>
      </c>
      <c r="G243">
        <v>29</v>
      </c>
      <c r="H243">
        <v>0</v>
      </c>
      <c r="I243">
        <v>0</v>
      </c>
      <c r="J243">
        <v>0</v>
      </c>
      <c r="K243">
        <v>0</v>
      </c>
      <c r="L243">
        <v>0</v>
      </c>
      <c r="M243">
        <v>0</v>
      </c>
      <c r="N243">
        <v>0</v>
      </c>
      <c r="O243">
        <v>5</v>
      </c>
      <c r="P243">
        <v>16</v>
      </c>
      <c r="Q243">
        <v>0</v>
      </c>
      <c r="R243">
        <f>SUM(Table10[[#This Row],[FOUR WHEELER (INVALID CARRIAGE)]:[TWO WHEELER(T)]])</f>
        <v>56</v>
      </c>
    </row>
    <row r="244" spans="1:18" x14ac:dyDescent="0.3">
      <c r="A244" s="1">
        <v>38657</v>
      </c>
      <c r="B244">
        <v>0</v>
      </c>
      <c r="C244">
        <v>2</v>
      </c>
      <c r="D244">
        <v>1</v>
      </c>
      <c r="E244">
        <v>0</v>
      </c>
      <c r="F244">
        <v>6</v>
      </c>
      <c r="G244">
        <v>21</v>
      </c>
      <c r="H244">
        <v>0</v>
      </c>
      <c r="I244">
        <v>1</v>
      </c>
      <c r="J244">
        <v>5</v>
      </c>
      <c r="K244">
        <v>0</v>
      </c>
      <c r="L244">
        <v>0</v>
      </c>
      <c r="M244">
        <v>1</v>
      </c>
      <c r="N244">
        <v>0</v>
      </c>
      <c r="O244">
        <v>1</v>
      </c>
      <c r="P244">
        <v>49</v>
      </c>
      <c r="Q244">
        <v>0</v>
      </c>
      <c r="R244">
        <f>SUM(Table10[[#This Row],[FOUR WHEELER (INVALID CARRIAGE)]:[TWO WHEELER(T)]])</f>
        <v>87</v>
      </c>
    </row>
    <row r="245" spans="1:18" x14ac:dyDescent="0.3">
      <c r="A245" s="1">
        <v>39022</v>
      </c>
      <c r="B245">
        <v>0</v>
      </c>
      <c r="C245">
        <v>1</v>
      </c>
      <c r="D245">
        <v>6</v>
      </c>
      <c r="E245">
        <v>0</v>
      </c>
      <c r="F245">
        <v>6</v>
      </c>
      <c r="G245">
        <v>27</v>
      </c>
      <c r="H245">
        <v>1</v>
      </c>
      <c r="I245">
        <v>1</v>
      </c>
      <c r="J245">
        <v>0</v>
      </c>
      <c r="K245">
        <v>0</v>
      </c>
      <c r="L245">
        <v>0</v>
      </c>
      <c r="M245">
        <v>1</v>
      </c>
      <c r="N245">
        <v>0</v>
      </c>
      <c r="O245">
        <v>2</v>
      </c>
      <c r="P245">
        <v>96</v>
      </c>
      <c r="Q245">
        <v>0</v>
      </c>
      <c r="R245">
        <f>SUM(Table10[[#This Row],[FOUR WHEELER (INVALID CARRIAGE)]:[TWO WHEELER(T)]])</f>
        <v>141</v>
      </c>
    </row>
    <row r="246" spans="1:18" x14ac:dyDescent="0.3">
      <c r="A246" s="1">
        <v>39387</v>
      </c>
      <c r="B246">
        <v>0</v>
      </c>
      <c r="C246">
        <v>0</v>
      </c>
      <c r="D246">
        <v>0</v>
      </c>
      <c r="E246">
        <v>0</v>
      </c>
      <c r="F246">
        <v>3</v>
      </c>
      <c r="G246">
        <v>37</v>
      </c>
      <c r="H246">
        <v>0</v>
      </c>
      <c r="I246">
        <v>0</v>
      </c>
      <c r="J246">
        <v>0</v>
      </c>
      <c r="K246">
        <v>0</v>
      </c>
      <c r="L246">
        <v>0</v>
      </c>
      <c r="M246">
        <v>0</v>
      </c>
      <c r="N246">
        <v>0</v>
      </c>
      <c r="O246">
        <v>4</v>
      </c>
      <c r="P246">
        <v>521</v>
      </c>
      <c r="Q246">
        <v>0</v>
      </c>
      <c r="R246">
        <f>SUM(Table10[[#This Row],[FOUR WHEELER (INVALID CARRIAGE)]:[TWO WHEELER(T)]])</f>
        <v>565</v>
      </c>
    </row>
    <row r="247" spans="1:18" x14ac:dyDescent="0.3">
      <c r="A247" s="1">
        <v>39753</v>
      </c>
      <c r="B247">
        <v>0</v>
      </c>
      <c r="C247">
        <v>0</v>
      </c>
      <c r="D247">
        <v>0</v>
      </c>
      <c r="E247">
        <v>0</v>
      </c>
      <c r="F247">
        <v>0</v>
      </c>
      <c r="G247">
        <v>44</v>
      </c>
      <c r="H247">
        <v>0</v>
      </c>
      <c r="I247">
        <v>0</v>
      </c>
      <c r="J247">
        <v>0</v>
      </c>
      <c r="K247">
        <v>0</v>
      </c>
      <c r="L247">
        <v>2</v>
      </c>
      <c r="M247">
        <v>1</v>
      </c>
      <c r="N247">
        <v>0</v>
      </c>
      <c r="O247">
        <v>3</v>
      </c>
      <c r="P247">
        <v>1254</v>
      </c>
      <c r="Q247">
        <v>0</v>
      </c>
      <c r="R247">
        <f>SUM(Table10[[#This Row],[FOUR WHEELER (INVALID CARRIAGE)]:[TWO WHEELER(T)]])</f>
        <v>1304</v>
      </c>
    </row>
    <row r="248" spans="1:18" x14ac:dyDescent="0.3">
      <c r="A248" s="1">
        <v>40118</v>
      </c>
      <c r="B248">
        <v>0</v>
      </c>
      <c r="C248">
        <v>1</v>
      </c>
      <c r="D248">
        <v>1</v>
      </c>
      <c r="E248">
        <v>0</v>
      </c>
      <c r="F248">
        <v>2</v>
      </c>
      <c r="G248">
        <v>37</v>
      </c>
      <c r="H248">
        <v>2</v>
      </c>
      <c r="I248">
        <v>0</v>
      </c>
      <c r="J248">
        <v>0</v>
      </c>
      <c r="K248">
        <v>1</v>
      </c>
      <c r="L248">
        <v>1</v>
      </c>
      <c r="M248">
        <v>0</v>
      </c>
      <c r="N248">
        <v>0</v>
      </c>
      <c r="O248">
        <v>2</v>
      </c>
      <c r="P248">
        <v>440</v>
      </c>
      <c r="Q248">
        <v>1</v>
      </c>
      <c r="R248">
        <f>SUM(Table10[[#This Row],[FOUR WHEELER (INVALID CARRIAGE)]:[TWO WHEELER(T)]])</f>
        <v>488</v>
      </c>
    </row>
    <row r="249" spans="1:18" x14ac:dyDescent="0.3">
      <c r="A249" s="1">
        <v>40483</v>
      </c>
      <c r="B249">
        <v>0</v>
      </c>
      <c r="C249">
        <v>1</v>
      </c>
      <c r="D249">
        <v>1</v>
      </c>
      <c r="E249">
        <v>1</v>
      </c>
      <c r="F249">
        <v>9</v>
      </c>
      <c r="G249">
        <v>31</v>
      </c>
      <c r="H249">
        <v>0</v>
      </c>
      <c r="I249">
        <v>0</v>
      </c>
      <c r="J249">
        <v>0</v>
      </c>
      <c r="K249">
        <v>0</v>
      </c>
      <c r="L249">
        <v>2</v>
      </c>
      <c r="M249">
        <v>0</v>
      </c>
      <c r="N249">
        <v>0</v>
      </c>
      <c r="O249">
        <v>3</v>
      </c>
      <c r="P249">
        <v>367</v>
      </c>
      <c r="Q249">
        <v>0</v>
      </c>
      <c r="R249">
        <f>SUM(Table10[[#This Row],[FOUR WHEELER (INVALID CARRIAGE)]:[TWO WHEELER(T)]])</f>
        <v>415</v>
      </c>
    </row>
    <row r="250" spans="1:18" x14ac:dyDescent="0.3">
      <c r="A250" s="1">
        <v>40848</v>
      </c>
      <c r="B250">
        <v>0</v>
      </c>
      <c r="C250">
        <v>1</v>
      </c>
      <c r="D250">
        <v>1</v>
      </c>
      <c r="E250">
        <v>0</v>
      </c>
      <c r="F250">
        <v>5</v>
      </c>
      <c r="G250">
        <v>63</v>
      </c>
      <c r="H250">
        <v>4</v>
      </c>
      <c r="I250">
        <v>0</v>
      </c>
      <c r="J250">
        <v>0</v>
      </c>
      <c r="K250">
        <v>0</v>
      </c>
      <c r="L250">
        <v>0</v>
      </c>
      <c r="M250">
        <v>1</v>
      </c>
      <c r="N250">
        <v>0</v>
      </c>
      <c r="O250">
        <v>4</v>
      </c>
      <c r="P250">
        <v>745</v>
      </c>
      <c r="Q250">
        <v>0</v>
      </c>
      <c r="R250">
        <f>SUM(Table10[[#This Row],[FOUR WHEELER (INVALID CARRIAGE)]:[TWO WHEELER(T)]])</f>
        <v>824</v>
      </c>
    </row>
    <row r="251" spans="1:18" x14ac:dyDescent="0.3">
      <c r="A251" s="1">
        <v>41214</v>
      </c>
      <c r="B251">
        <v>0</v>
      </c>
      <c r="C251">
        <v>1</v>
      </c>
      <c r="D251">
        <v>2</v>
      </c>
      <c r="E251">
        <v>0</v>
      </c>
      <c r="F251">
        <v>5</v>
      </c>
      <c r="G251">
        <v>22</v>
      </c>
      <c r="H251">
        <v>2</v>
      </c>
      <c r="I251">
        <v>0</v>
      </c>
      <c r="J251">
        <v>0</v>
      </c>
      <c r="K251">
        <v>0</v>
      </c>
      <c r="L251">
        <v>2</v>
      </c>
      <c r="M251">
        <v>0</v>
      </c>
      <c r="N251">
        <v>0</v>
      </c>
      <c r="O251">
        <v>2</v>
      </c>
      <c r="P251">
        <v>319</v>
      </c>
      <c r="Q251">
        <v>0</v>
      </c>
      <c r="R251">
        <f>SUM(Table10[[#This Row],[FOUR WHEELER (INVALID CARRIAGE)]:[TWO WHEELER(T)]])</f>
        <v>355</v>
      </c>
    </row>
    <row r="252" spans="1:18" x14ac:dyDescent="0.3">
      <c r="A252" s="1">
        <v>41579</v>
      </c>
      <c r="B252">
        <v>0</v>
      </c>
      <c r="C252">
        <v>0</v>
      </c>
      <c r="D252">
        <v>0</v>
      </c>
      <c r="E252">
        <v>0</v>
      </c>
      <c r="F252">
        <v>6</v>
      </c>
      <c r="G252">
        <v>32</v>
      </c>
      <c r="H252">
        <v>0</v>
      </c>
      <c r="I252">
        <v>1</v>
      </c>
      <c r="J252">
        <v>0</v>
      </c>
      <c r="K252">
        <v>0</v>
      </c>
      <c r="L252">
        <v>3</v>
      </c>
      <c r="M252">
        <v>0</v>
      </c>
      <c r="N252">
        <v>0</v>
      </c>
      <c r="O252">
        <v>0</v>
      </c>
      <c r="P252">
        <v>228</v>
      </c>
      <c r="Q252">
        <v>0</v>
      </c>
      <c r="R252">
        <f>SUM(Table10[[#This Row],[FOUR WHEELER (INVALID CARRIAGE)]:[TWO WHEELER(T)]])</f>
        <v>270</v>
      </c>
    </row>
    <row r="253" spans="1:18" x14ac:dyDescent="0.3">
      <c r="A253" s="1">
        <v>41944</v>
      </c>
      <c r="B253">
        <v>0</v>
      </c>
      <c r="C253">
        <v>1</v>
      </c>
      <c r="D253">
        <v>0</v>
      </c>
      <c r="E253">
        <v>0</v>
      </c>
      <c r="F253">
        <v>1</v>
      </c>
      <c r="G253">
        <v>58</v>
      </c>
      <c r="H253">
        <v>1</v>
      </c>
      <c r="I253">
        <v>1</v>
      </c>
      <c r="J253">
        <v>0</v>
      </c>
      <c r="K253">
        <v>0</v>
      </c>
      <c r="L253">
        <v>1</v>
      </c>
      <c r="M253">
        <v>0</v>
      </c>
      <c r="N253">
        <v>0</v>
      </c>
      <c r="O253">
        <v>1</v>
      </c>
      <c r="P253">
        <v>146</v>
      </c>
      <c r="Q253">
        <v>0</v>
      </c>
      <c r="R253">
        <f>SUM(Table10[[#This Row],[FOUR WHEELER (INVALID CARRIAGE)]:[TWO WHEELER(T)]])</f>
        <v>210</v>
      </c>
    </row>
    <row r="254" spans="1:18" x14ac:dyDescent="0.3">
      <c r="A254" s="1">
        <v>42309</v>
      </c>
      <c r="B254">
        <v>0</v>
      </c>
      <c r="C254">
        <v>0</v>
      </c>
      <c r="D254">
        <v>0</v>
      </c>
      <c r="E254">
        <v>0</v>
      </c>
      <c r="F254">
        <v>4</v>
      </c>
      <c r="G254">
        <v>55</v>
      </c>
      <c r="H254">
        <v>1</v>
      </c>
      <c r="I254">
        <v>0</v>
      </c>
      <c r="J254">
        <v>0</v>
      </c>
      <c r="K254">
        <v>1</v>
      </c>
      <c r="L254">
        <v>5</v>
      </c>
      <c r="M254">
        <v>0</v>
      </c>
      <c r="N254">
        <v>1</v>
      </c>
      <c r="O254">
        <v>1071</v>
      </c>
      <c r="P254">
        <v>111</v>
      </c>
      <c r="Q254">
        <v>0</v>
      </c>
      <c r="R254">
        <f>SUM(Table10[[#This Row],[FOUR WHEELER (INVALID CARRIAGE)]:[TWO WHEELER(T)]])</f>
        <v>1249</v>
      </c>
    </row>
    <row r="255" spans="1:18" x14ac:dyDescent="0.3">
      <c r="A255" s="1">
        <v>42675</v>
      </c>
      <c r="B255">
        <v>0</v>
      </c>
      <c r="C255">
        <v>0</v>
      </c>
      <c r="D255">
        <v>2</v>
      </c>
      <c r="E255">
        <v>0</v>
      </c>
      <c r="F255">
        <v>12</v>
      </c>
      <c r="G255">
        <v>77</v>
      </c>
      <c r="H255">
        <v>31</v>
      </c>
      <c r="I255">
        <v>0</v>
      </c>
      <c r="J255">
        <v>0</v>
      </c>
      <c r="K255">
        <v>0</v>
      </c>
      <c r="L255">
        <v>18</v>
      </c>
      <c r="M255">
        <v>2</v>
      </c>
      <c r="N255">
        <v>0</v>
      </c>
      <c r="O255">
        <v>4644</v>
      </c>
      <c r="P255">
        <v>112</v>
      </c>
      <c r="Q255">
        <v>0</v>
      </c>
      <c r="R255">
        <f>SUM(Table10[[#This Row],[FOUR WHEELER (INVALID CARRIAGE)]:[TWO WHEELER(T)]])</f>
        <v>4898</v>
      </c>
    </row>
    <row r="256" spans="1:18" x14ac:dyDescent="0.3">
      <c r="A256" s="1">
        <v>43040</v>
      </c>
      <c r="B256">
        <v>0</v>
      </c>
      <c r="C256">
        <v>0</v>
      </c>
      <c r="D256">
        <v>0</v>
      </c>
      <c r="E256">
        <v>8</v>
      </c>
      <c r="F256">
        <v>88</v>
      </c>
      <c r="G256">
        <v>63</v>
      </c>
      <c r="H256">
        <v>33</v>
      </c>
      <c r="I256">
        <v>0</v>
      </c>
      <c r="J256">
        <v>3</v>
      </c>
      <c r="K256">
        <v>0</v>
      </c>
      <c r="L256">
        <v>79</v>
      </c>
      <c r="M256">
        <v>4</v>
      </c>
      <c r="N256">
        <v>0</v>
      </c>
      <c r="O256">
        <v>9592</v>
      </c>
      <c r="P256">
        <v>214</v>
      </c>
      <c r="Q256">
        <v>0</v>
      </c>
      <c r="R256">
        <f>SUM(Table10[[#This Row],[FOUR WHEELER (INVALID CARRIAGE)]:[TWO WHEELER(T)]])</f>
        <v>10084</v>
      </c>
    </row>
    <row r="257" spans="1:18" x14ac:dyDescent="0.3">
      <c r="A257" s="1">
        <v>43405</v>
      </c>
      <c r="B257">
        <v>0</v>
      </c>
      <c r="C257">
        <v>0</v>
      </c>
      <c r="D257">
        <v>0</v>
      </c>
      <c r="E257">
        <v>7</v>
      </c>
      <c r="F257">
        <v>15</v>
      </c>
      <c r="G257">
        <v>106</v>
      </c>
      <c r="H257">
        <v>73</v>
      </c>
      <c r="I257">
        <v>0</v>
      </c>
      <c r="J257">
        <v>0</v>
      </c>
      <c r="K257">
        <v>0</v>
      </c>
      <c r="L257">
        <v>19</v>
      </c>
      <c r="M257">
        <v>3</v>
      </c>
      <c r="N257">
        <v>0</v>
      </c>
      <c r="O257">
        <v>10513</v>
      </c>
      <c r="P257">
        <v>3269</v>
      </c>
      <c r="Q257">
        <v>107</v>
      </c>
      <c r="R257">
        <f>SUM(Table10[[#This Row],[FOUR WHEELER (INVALID CARRIAGE)]:[TWO WHEELER(T)]])</f>
        <v>14112</v>
      </c>
    </row>
    <row r="258" spans="1:18" x14ac:dyDescent="0.3">
      <c r="A258" s="1">
        <v>43770</v>
      </c>
      <c r="B258">
        <v>0</v>
      </c>
      <c r="C258">
        <v>0</v>
      </c>
      <c r="D258">
        <v>0</v>
      </c>
      <c r="E258">
        <v>49</v>
      </c>
      <c r="F258">
        <v>2</v>
      </c>
      <c r="G258">
        <v>85</v>
      </c>
      <c r="H258">
        <v>135</v>
      </c>
      <c r="I258">
        <v>0</v>
      </c>
      <c r="J258">
        <v>1</v>
      </c>
      <c r="K258">
        <v>0</v>
      </c>
      <c r="L258">
        <v>46</v>
      </c>
      <c r="M258">
        <v>11</v>
      </c>
      <c r="N258">
        <v>0</v>
      </c>
      <c r="O258">
        <v>15531</v>
      </c>
      <c r="P258">
        <v>3136</v>
      </c>
      <c r="Q258">
        <v>12</v>
      </c>
      <c r="R258">
        <f>SUM(Table10[[#This Row],[FOUR WHEELER (INVALID CARRIAGE)]:[TWO WHEELER(T)]])</f>
        <v>19008</v>
      </c>
    </row>
    <row r="259" spans="1:18" x14ac:dyDescent="0.3">
      <c r="A259" s="1">
        <v>44136</v>
      </c>
      <c r="B259">
        <v>0</v>
      </c>
      <c r="C259">
        <v>0</v>
      </c>
      <c r="D259">
        <v>0</v>
      </c>
      <c r="E259">
        <v>8</v>
      </c>
      <c r="F259">
        <v>1</v>
      </c>
      <c r="G259">
        <v>537</v>
      </c>
      <c r="H259">
        <v>32</v>
      </c>
      <c r="I259">
        <v>0</v>
      </c>
      <c r="J259">
        <v>26</v>
      </c>
      <c r="K259">
        <v>0</v>
      </c>
      <c r="L259">
        <v>54</v>
      </c>
      <c r="M259">
        <v>11</v>
      </c>
      <c r="N259">
        <v>0</v>
      </c>
      <c r="O259">
        <v>8526</v>
      </c>
      <c r="P259">
        <v>3888</v>
      </c>
      <c r="Q259">
        <v>301</v>
      </c>
      <c r="R259">
        <f>SUM(Table10[[#This Row],[FOUR WHEELER (INVALID CARRIAGE)]:[TWO WHEELER(T)]])</f>
        <v>13384</v>
      </c>
    </row>
    <row r="260" spans="1:18" x14ac:dyDescent="0.3">
      <c r="A260" s="1">
        <v>44501</v>
      </c>
      <c r="B260">
        <v>0</v>
      </c>
      <c r="C260">
        <v>0</v>
      </c>
      <c r="D260">
        <v>2</v>
      </c>
      <c r="E260">
        <v>34</v>
      </c>
      <c r="F260">
        <v>16</v>
      </c>
      <c r="G260">
        <v>1599</v>
      </c>
      <c r="H260">
        <v>27</v>
      </c>
      <c r="I260">
        <v>0</v>
      </c>
      <c r="J260">
        <v>0</v>
      </c>
      <c r="K260">
        <v>0</v>
      </c>
      <c r="L260">
        <v>131</v>
      </c>
      <c r="M260">
        <v>19</v>
      </c>
      <c r="N260">
        <v>2</v>
      </c>
      <c r="O260">
        <v>18712</v>
      </c>
      <c r="P260">
        <v>24398</v>
      </c>
      <c r="Q260">
        <v>154</v>
      </c>
      <c r="R260">
        <f>SUM(Table10[[#This Row],[FOUR WHEELER (INVALID CARRIAGE)]:[TWO WHEELER(T)]])</f>
        <v>45094</v>
      </c>
    </row>
    <row r="261" spans="1:18" x14ac:dyDescent="0.3">
      <c r="A261" s="1">
        <v>44866</v>
      </c>
      <c r="B261">
        <v>1</v>
      </c>
      <c r="C261">
        <v>0</v>
      </c>
      <c r="D261">
        <v>0</v>
      </c>
      <c r="E261">
        <v>117</v>
      </c>
      <c r="F261">
        <v>35</v>
      </c>
      <c r="G261">
        <v>3556</v>
      </c>
      <c r="H261">
        <v>424</v>
      </c>
      <c r="I261">
        <v>0</v>
      </c>
      <c r="J261">
        <v>0</v>
      </c>
      <c r="K261">
        <v>0</v>
      </c>
      <c r="L261">
        <v>191</v>
      </c>
      <c r="M261">
        <v>51</v>
      </c>
      <c r="N261">
        <v>2</v>
      </c>
      <c r="O261">
        <v>40426</v>
      </c>
      <c r="P261">
        <v>76762</v>
      </c>
      <c r="Q261">
        <v>31</v>
      </c>
      <c r="R261">
        <f>SUM(Table10[[#This Row],[FOUR WHEELER (INVALID CARRIAGE)]:[TWO WHEELER(T)]])</f>
        <v>121596</v>
      </c>
    </row>
    <row r="262" spans="1:18" x14ac:dyDescent="0.3">
      <c r="A262" s="1">
        <v>45231</v>
      </c>
      <c r="B262">
        <v>5</v>
      </c>
      <c r="C262">
        <v>15</v>
      </c>
      <c r="D262">
        <v>1</v>
      </c>
      <c r="E262">
        <v>228</v>
      </c>
      <c r="F262">
        <v>277</v>
      </c>
      <c r="G262">
        <v>7129</v>
      </c>
      <c r="H262">
        <v>410</v>
      </c>
      <c r="I262">
        <v>0</v>
      </c>
      <c r="J262">
        <v>40</v>
      </c>
      <c r="K262">
        <v>3</v>
      </c>
      <c r="L262">
        <v>0</v>
      </c>
      <c r="M262">
        <v>8</v>
      </c>
      <c r="N262">
        <v>11</v>
      </c>
      <c r="O262">
        <v>53907</v>
      </c>
      <c r="P262">
        <v>91972</v>
      </c>
      <c r="Q262">
        <v>137</v>
      </c>
      <c r="R262">
        <f>SUM(Table10[[#This Row],[FOUR WHEELER (INVALID CARRIAGE)]:[TWO WHEELER(T)]])</f>
        <v>154143</v>
      </c>
    </row>
    <row r="263" spans="1:18" x14ac:dyDescent="0.3">
      <c r="A263" s="1">
        <v>37226</v>
      </c>
      <c r="B263">
        <v>0</v>
      </c>
      <c r="C263">
        <v>0</v>
      </c>
      <c r="D263">
        <v>3</v>
      </c>
      <c r="E263">
        <v>0</v>
      </c>
      <c r="F263">
        <v>9</v>
      </c>
      <c r="G263">
        <v>13</v>
      </c>
      <c r="H263">
        <v>1</v>
      </c>
      <c r="I263">
        <v>0</v>
      </c>
      <c r="J263">
        <v>0</v>
      </c>
      <c r="K263">
        <v>0</v>
      </c>
      <c r="L263">
        <v>0</v>
      </c>
      <c r="M263">
        <v>0</v>
      </c>
      <c r="N263">
        <v>0</v>
      </c>
      <c r="O263">
        <v>0</v>
      </c>
      <c r="P263">
        <v>81</v>
      </c>
      <c r="Q263">
        <v>0</v>
      </c>
      <c r="R263">
        <f>SUM(Table10[[#This Row],[FOUR WHEELER (INVALID CARRIAGE)]:[TWO WHEELER(T)]])</f>
        <v>107</v>
      </c>
    </row>
    <row r="264" spans="1:18" x14ac:dyDescent="0.3">
      <c r="A264" s="1">
        <v>37591</v>
      </c>
      <c r="B264">
        <v>0</v>
      </c>
      <c r="C264">
        <v>0</v>
      </c>
      <c r="D264">
        <v>0</v>
      </c>
      <c r="E264">
        <v>0</v>
      </c>
      <c r="F264">
        <v>42</v>
      </c>
      <c r="G264">
        <v>15</v>
      </c>
      <c r="H264">
        <v>0</v>
      </c>
      <c r="I264">
        <v>0</v>
      </c>
      <c r="J264">
        <v>0</v>
      </c>
      <c r="K264">
        <v>0</v>
      </c>
      <c r="L264">
        <v>0</v>
      </c>
      <c r="M264">
        <v>0</v>
      </c>
      <c r="N264">
        <v>0</v>
      </c>
      <c r="O264">
        <v>4</v>
      </c>
      <c r="P264">
        <v>7</v>
      </c>
      <c r="Q264">
        <v>0</v>
      </c>
      <c r="R264">
        <f>SUM(Table10[[#This Row],[FOUR WHEELER (INVALID CARRIAGE)]:[TWO WHEELER(T)]])</f>
        <v>68</v>
      </c>
    </row>
    <row r="265" spans="1:18" x14ac:dyDescent="0.3">
      <c r="A265" s="1">
        <v>37956</v>
      </c>
      <c r="B265">
        <v>0</v>
      </c>
      <c r="C265">
        <v>1</v>
      </c>
      <c r="D265">
        <v>0</v>
      </c>
      <c r="E265">
        <v>0</v>
      </c>
      <c r="F265">
        <v>3</v>
      </c>
      <c r="G265">
        <v>13</v>
      </c>
      <c r="H265">
        <v>2</v>
      </c>
      <c r="I265">
        <v>0</v>
      </c>
      <c r="J265">
        <v>3</v>
      </c>
      <c r="K265">
        <v>0</v>
      </c>
      <c r="L265">
        <v>0</v>
      </c>
      <c r="M265">
        <v>0</v>
      </c>
      <c r="N265">
        <v>0</v>
      </c>
      <c r="O265">
        <v>3</v>
      </c>
      <c r="P265">
        <v>9</v>
      </c>
      <c r="Q265">
        <v>0</v>
      </c>
      <c r="R265">
        <f>SUM(Table10[[#This Row],[FOUR WHEELER (INVALID CARRIAGE)]:[TWO WHEELER(T)]])</f>
        <v>34</v>
      </c>
    </row>
    <row r="266" spans="1:18" x14ac:dyDescent="0.3">
      <c r="A266" s="1">
        <v>38322</v>
      </c>
      <c r="B266">
        <v>0</v>
      </c>
      <c r="C266">
        <v>0</v>
      </c>
      <c r="D266">
        <v>0</v>
      </c>
      <c r="E266">
        <v>0</v>
      </c>
      <c r="F266">
        <v>10</v>
      </c>
      <c r="G266">
        <v>23</v>
      </c>
      <c r="H266">
        <v>3</v>
      </c>
      <c r="I266">
        <v>0</v>
      </c>
      <c r="J266">
        <v>0</v>
      </c>
      <c r="K266">
        <v>0</v>
      </c>
      <c r="L266">
        <v>1</v>
      </c>
      <c r="M266">
        <v>0</v>
      </c>
      <c r="N266">
        <v>0</v>
      </c>
      <c r="O266">
        <v>5</v>
      </c>
      <c r="P266">
        <v>19</v>
      </c>
      <c r="Q266">
        <v>0</v>
      </c>
      <c r="R266">
        <f>SUM(Table10[[#This Row],[FOUR WHEELER (INVALID CARRIAGE)]:[TWO WHEELER(T)]])</f>
        <v>61</v>
      </c>
    </row>
    <row r="267" spans="1:18" x14ac:dyDescent="0.3">
      <c r="A267" s="1">
        <v>38687</v>
      </c>
      <c r="B267">
        <v>0</v>
      </c>
      <c r="C267">
        <v>0</v>
      </c>
      <c r="D267">
        <v>0</v>
      </c>
      <c r="E267">
        <v>0</v>
      </c>
      <c r="F267">
        <v>4</v>
      </c>
      <c r="G267">
        <v>22</v>
      </c>
      <c r="H267">
        <v>0</v>
      </c>
      <c r="I267">
        <v>0</v>
      </c>
      <c r="J267">
        <v>0</v>
      </c>
      <c r="K267">
        <v>0</v>
      </c>
      <c r="L267">
        <v>1</v>
      </c>
      <c r="M267">
        <v>1</v>
      </c>
      <c r="N267">
        <v>0</v>
      </c>
      <c r="O267">
        <v>0</v>
      </c>
      <c r="P267">
        <v>44</v>
      </c>
      <c r="Q267">
        <v>0</v>
      </c>
      <c r="R267">
        <f>SUM(Table10[[#This Row],[FOUR WHEELER (INVALID CARRIAGE)]:[TWO WHEELER(T)]])</f>
        <v>72</v>
      </c>
    </row>
    <row r="268" spans="1:18" x14ac:dyDescent="0.3">
      <c r="A268" s="1">
        <v>39052</v>
      </c>
      <c r="B268">
        <v>0</v>
      </c>
      <c r="C268">
        <v>0</v>
      </c>
      <c r="D268">
        <v>3</v>
      </c>
      <c r="E268">
        <v>0</v>
      </c>
      <c r="F268">
        <v>9</v>
      </c>
      <c r="G268">
        <v>13</v>
      </c>
      <c r="H268">
        <v>1</v>
      </c>
      <c r="I268">
        <v>0</v>
      </c>
      <c r="J268">
        <v>0</v>
      </c>
      <c r="K268">
        <v>0</v>
      </c>
      <c r="L268">
        <v>0</v>
      </c>
      <c r="M268">
        <v>0</v>
      </c>
      <c r="N268">
        <v>0</v>
      </c>
      <c r="O268">
        <v>0</v>
      </c>
      <c r="P268">
        <v>81</v>
      </c>
      <c r="Q268">
        <v>0</v>
      </c>
      <c r="R268">
        <f>SUM(Table10[[#This Row],[FOUR WHEELER (INVALID CARRIAGE)]:[TWO WHEELER(T)]])</f>
        <v>107</v>
      </c>
    </row>
    <row r="269" spans="1:18" x14ac:dyDescent="0.3">
      <c r="A269" s="1">
        <v>39417</v>
      </c>
      <c r="B269">
        <v>0</v>
      </c>
      <c r="C269">
        <v>0</v>
      </c>
      <c r="D269">
        <v>2</v>
      </c>
      <c r="E269">
        <v>0</v>
      </c>
      <c r="F269">
        <v>3</v>
      </c>
      <c r="G269">
        <v>49</v>
      </c>
      <c r="H269">
        <v>0</v>
      </c>
      <c r="I269">
        <v>0</v>
      </c>
      <c r="J269">
        <v>0</v>
      </c>
      <c r="K269">
        <v>0</v>
      </c>
      <c r="L269">
        <v>0</v>
      </c>
      <c r="M269">
        <v>0</v>
      </c>
      <c r="N269">
        <v>0</v>
      </c>
      <c r="O269">
        <v>1</v>
      </c>
      <c r="P269">
        <v>510</v>
      </c>
      <c r="Q269">
        <v>0</v>
      </c>
      <c r="R269">
        <f>SUM(Table10[[#This Row],[FOUR WHEELER (INVALID CARRIAGE)]:[TWO WHEELER(T)]])</f>
        <v>565</v>
      </c>
    </row>
    <row r="270" spans="1:18" x14ac:dyDescent="0.3">
      <c r="A270" s="1">
        <v>39783</v>
      </c>
      <c r="B270">
        <v>0</v>
      </c>
      <c r="C270">
        <v>0</v>
      </c>
      <c r="D270">
        <v>0</v>
      </c>
      <c r="E270">
        <v>0</v>
      </c>
      <c r="F270">
        <v>3</v>
      </c>
      <c r="G270">
        <v>48</v>
      </c>
      <c r="H270">
        <v>0</v>
      </c>
      <c r="I270">
        <v>0</v>
      </c>
      <c r="J270">
        <v>0</v>
      </c>
      <c r="K270">
        <v>1</v>
      </c>
      <c r="L270">
        <v>0</v>
      </c>
      <c r="M270">
        <v>0</v>
      </c>
      <c r="N270">
        <v>0</v>
      </c>
      <c r="O270">
        <v>1</v>
      </c>
      <c r="P270">
        <v>940</v>
      </c>
      <c r="Q270">
        <v>0</v>
      </c>
      <c r="R270">
        <f>SUM(Table10[[#This Row],[FOUR WHEELER (INVALID CARRIAGE)]:[TWO WHEELER(T)]])</f>
        <v>993</v>
      </c>
    </row>
    <row r="271" spans="1:18" x14ac:dyDescent="0.3">
      <c r="A271" s="1">
        <v>40148</v>
      </c>
      <c r="B271">
        <v>0</v>
      </c>
      <c r="C271">
        <v>0</v>
      </c>
      <c r="D271">
        <v>0</v>
      </c>
      <c r="E271">
        <v>0</v>
      </c>
      <c r="F271">
        <v>2</v>
      </c>
      <c r="G271">
        <v>22</v>
      </c>
      <c r="H271">
        <v>2</v>
      </c>
      <c r="I271">
        <v>0</v>
      </c>
      <c r="J271">
        <v>0</v>
      </c>
      <c r="K271">
        <v>0</v>
      </c>
      <c r="L271">
        <v>2</v>
      </c>
      <c r="M271">
        <v>0</v>
      </c>
      <c r="N271">
        <v>0</v>
      </c>
      <c r="O271">
        <v>7</v>
      </c>
      <c r="P271">
        <v>370</v>
      </c>
      <c r="Q271">
        <v>0</v>
      </c>
      <c r="R271">
        <f>SUM(Table10[[#This Row],[FOUR WHEELER (INVALID CARRIAGE)]:[TWO WHEELER(T)]])</f>
        <v>405</v>
      </c>
    </row>
    <row r="272" spans="1:18" x14ac:dyDescent="0.3">
      <c r="A272" s="1">
        <v>40513</v>
      </c>
      <c r="B272">
        <v>0</v>
      </c>
      <c r="C272">
        <v>1</v>
      </c>
      <c r="D272">
        <v>1</v>
      </c>
      <c r="E272">
        <v>0</v>
      </c>
      <c r="F272">
        <v>26</v>
      </c>
      <c r="G272">
        <v>62</v>
      </c>
      <c r="H272">
        <v>2</v>
      </c>
      <c r="I272">
        <v>0</v>
      </c>
      <c r="J272">
        <v>0</v>
      </c>
      <c r="K272">
        <v>0</v>
      </c>
      <c r="L272">
        <v>0</v>
      </c>
      <c r="M272">
        <v>0</v>
      </c>
      <c r="N272">
        <v>0</v>
      </c>
      <c r="O272">
        <v>0</v>
      </c>
      <c r="P272">
        <v>306</v>
      </c>
      <c r="Q272">
        <v>0</v>
      </c>
      <c r="R272">
        <f>SUM(Table10[[#This Row],[FOUR WHEELER (INVALID CARRIAGE)]:[TWO WHEELER(T)]])</f>
        <v>398</v>
      </c>
    </row>
    <row r="273" spans="1:18" x14ac:dyDescent="0.3">
      <c r="A273" s="1">
        <v>40878</v>
      </c>
      <c r="B273">
        <v>0</v>
      </c>
      <c r="C273">
        <v>1</v>
      </c>
      <c r="D273">
        <v>2</v>
      </c>
      <c r="E273">
        <v>0</v>
      </c>
      <c r="F273">
        <v>6</v>
      </c>
      <c r="G273">
        <v>55</v>
      </c>
      <c r="H273">
        <v>0</v>
      </c>
      <c r="I273">
        <v>0</v>
      </c>
      <c r="J273">
        <v>0</v>
      </c>
      <c r="K273">
        <v>0</v>
      </c>
      <c r="L273">
        <v>0</v>
      </c>
      <c r="M273">
        <v>0</v>
      </c>
      <c r="N273">
        <v>0</v>
      </c>
      <c r="O273">
        <v>1</v>
      </c>
      <c r="P273">
        <v>794</v>
      </c>
      <c r="Q273">
        <v>0</v>
      </c>
      <c r="R273">
        <f>SUM(Table10[[#This Row],[FOUR WHEELER (INVALID CARRIAGE)]:[TWO WHEELER(T)]])</f>
        <v>859</v>
      </c>
    </row>
    <row r="274" spans="1:18" x14ac:dyDescent="0.3">
      <c r="A274" s="1">
        <v>41244</v>
      </c>
      <c r="B274">
        <v>0</v>
      </c>
      <c r="C274">
        <v>1</v>
      </c>
      <c r="D274">
        <v>0</v>
      </c>
      <c r="E274">
        <v>0</v>
      </c>
      <c r="F274">
        <v>6</v>
      </c>
      <c r="G274">
        <v>29</v>
      </c>
      <c r="H274">
        <v>0</v>
      </c>
      <c r="I274">
        <v>4</v>
      </c>
      <c r="J274">
        <v>0</v>
      </c>
      <c r="K274">
        <v>0</v>
      </c>
      <c r="L274">
        <v>1</v>
      </c>
      <c r="M274">
        <v>0</v>
      </c>
      <c r="N274">
        <v>0</v>
      </c>
      <c r="O274">
        <v>1</v>
      </c>
      <c r="P274">
        <v>247</v>
      </c>
      <c r="Q274">
        <v>0</v>
      </c>
      <c r="R274">
        <f>SUM(Table10[[#This Row],[FOUR WHEELER (INVALID CARRIAGE)]:[TWO WHEELER(T)]])</f>
        <v>289</v>
      </c>
    </row>
    <row r="275" spans="1:18" x14ac:dyDescent="0.3">
      <c r="A275" s="1">
        <v>41609</v>
      </c>
      <c r="B275">
        <v>0</v>
      </c>
      <c r="C275">
        <v>13</v>
      </c>
      <c r="D275">
        <v>1</v>
      </c>
      <c r="E275">
        <v>0</v>
      </c>
      <c r="F275">
        <v>9</v>
      </c>
      <c r="G275">
        <v>39</v>
      </c>
      <c r="H275">
        <v>3</v>
      </c>
      <c r="I275">
        <v>0</v>
      </c>
      <c r="J275">
        <v>0</v>
      </c>
      <c r="K275">
        <v>0</v>
      </c>
      <c r="L275">
        <v>2</v>
      </c>
      <c r="M275">
        <v>0</v>
      </c>
      <c r="N275">
        <v>0</v>
      </c>
      <c r="O275">
        <v>4</v>
      </c>
      <c r="P275">
        <v>179</v>
      </c>
      <c r="Q275">
        <v>0</v>
      </c>
      <c r="R275">
        <f>SUM(Table10[[#This Row],[FOUR WHEELER (INVALID CARRIAGE)]:[TWO WHEELER(T)]])</f>
        <v>250</v>
      </c>
    </row>
    <row r="276" spans="1:18" x14ac:dyDescent="0.3">
      <c r="A276" s="1">
        <v>41974</v>
      </c>
      <c r="B276">
        <v>0</v>
      </c>
      <c r="C276">
        <v>2</v>
      </c>
      <c r="D276">
        <v>0</v>
      </c>
      <c r="E276">
        <v>0</v>
      </c>
      <c r="F276">
        <v>3</v>
      </c>
      <c r="G276">
        <v>62</v>
      </c>
      <c r="H276">
        <v>0</v>
      </c>
      <c r="I276">
        <v>0</v>
      </c>
      <c r="J276">
        <v>0</v>
      </c>
      <c r="K276">
        <v>0</v>
      </c>
      <c r="L276">
        <v>1</v>
      </c>
      <c r="M276">
        <v>0</v>
      </c>
      <c r="N276">
        <v>0</v>
      </c>
      <c r="O276">
        <v>1</v>
      </c>
      <c r="P276">
        <v>165</v>
      </c>
      <c r="Q276">
        <v>0</v>
      </c>
      <c r="R276">
        <f>SUM(Table10[[#This Row],[FOUR WHEELER (INVALID CARRIAGE)]:[TWO WHEELER(T)]])</f>
        <v>234</v>
      </c>
    </row>
    <row r="277" spans="1:18" x14ac:dyDescent="0.3">
      <c r="A277" s="1">
        <v>42339</v>
      </c>
      <c r="B277">
        <v>0</v>
      </c>
      <c r="C277">
        <v>0</v>
      </c>
      <c r="D277">
        <v>0</v>
      </c>
      <c r="E277">
        <v>0</v>
      </c>
      <c r="F277">
        <v>4</v>
      </c>
      <c r="G277">
        <v>70</v>
      </c>
      <c r="H277">
        <v>35</v>
      </c>
      <c r="I277">
        <v>0</v>
      </c>
      <c r="J277">
        <v>0</v>
      </c>
      <c r="K277">
        <v>0</v>
      </c>
      <c r="L277">
        <v>8</v>
      </c>
      <c r="M277">
        <v>0</v>
      </c>
      <c r="N277">
        <v>0</v>
      </c>
      <c r="O277">
        <v>1926</v>
      </c>
      <c r="P277">
        <v>138</v>
      </c>
      <c r="Q277">
        <v>0</v>
      </c>
      <c r="R277">
        <f>SUM(Table10[[#This Row],[FOUR WHEELER (INVALID CARRIAGE)]:[TWO WHEELER(T)]])</f>
        <v>2181</v>
      </c>
    </row>
    <row r="278" spans="1:18" x14ac:dyDescent="0.3">
      <c r="A278" s="1">
        <v>42705</v>
      </c>
      <c r="B278">
        <v>1</v>
      </c>
      <c r="C278">
        <v>1</v>
      </c>
      <c r="D278">
        <v>0</v>
      </c>
      <c r="E278">
        <v>0</v>
      </c>
      <c r="F278">
        <v>3</v>
      </c>
      <c r="G278">
        <v>36</v>
      </c>
      <c r="H278">
        <v>4</v>
      </c>
      <c r="I278">
        <v>0</v>
      </c>
      <c r="J278">
        <v>0</v>
      </c>
      <c r="K278">
        <v>0</v>
      </c>
      <c r="L278">
        <v>35</v>
      </c>
      <c r="M278">
        <v>0</v>
      </c>
      <c r="N278">
        <v>0</v>
      </c>
      <c r="O278">
        <v>4289</v>
      </c>
      <c r="P278">
        <v>136</v>
      </c>
      <c r="Q278">
        <v>0</v>
      </c>
      <c r="R278">
        <f>SUM(Table10[[#This Row],[FOUR WHEELER (INVALID CARRIAGE)]:[TWO WHEELER(T)]])</f>
        <v>4505</v>
      </c>
    </row>
    <row r="279" spans="1:18" x14ac:dyDescent="0.3">
      <c r="A279" s="1">
        <v>43070</v>
      </c>
      <c r="B279">
        <v>0</v>
      </c>
      <c r="C279">
        <v>0</v>
      </c>
      <c r="D279">
        <v>0</v>
      </c>
      <c r="E279">
        <v>0</v>
      </c>
      <c r="F279">
        <v>93</v>
      </c>
      <c r="G279">
        <v>60</v>
      </c>
      <c r="H279">
        <v>26</v>
      </c>
      <c r="I279">
        <v>0</v>
      </c>
      <c r="J279">
        <v>0</v>
      </c>
      <c r="K279">
        <v>0</v>
      </c>
      <c r="L279">
        <v>30</v>
      </c>
      <c r="M279">
        <v>6</v>
      </c>
      <c r="N279">
        <v>0</v>
      </c>
      <c r="O279">
        <v>8712</v>
      </c>
      <c r="P279">
        <v>186</v>
      </c>
      <c r="Q279">
        <v>3</v>
      </c>
      <c r="R279">
        <f>SUM(Table10[[#This Row],[FOUR WHEELER (INVALID CARRIAGE)]:[TWO WHEELER(T)]])</f>
        <v>9116</v>
      </c>
    </row>
    <row r="280" spans="1:18" x14ac:dyDescent="0.3">
      <c r="A280" s="1">
        <v>43435</v>
      </c>
      <c r="B280">
        <v>0</v>
      </c>
      <c r="C280">
        <v>0</v>
      </c>
      <c r="D280">
        <v>0</v>
      </c>
      <c r="E280">
        <v>0</v>
      </c>
      <c r="F280">
        <v>27</v>
      </c>
      <c r="G280">
        <v>114</v>
      </c>
      <c r="H280">
        <v>12</v>
      </c>
      <c r="I280">
        <v>1</v>
      </c>
      <c r="J280">
        <v>2</v>
      </c>
      <c r="K280">
        <v>0</v>
      </c>
      <c r="L280">
        <v>52</v>
      </c>
      <c r="M280">
        <v>5</v>
      </c>
      <c r="N280">
        <v>4</v>
      </c>
      <c r="O280">
        <v>12494</v>
      </c>
      <c r="P280">
        <v>3166</v>
      </c>
      <c r="Q280">
        <v>0</v>
      </c>
      <c r="R280">
        <f>SUM(Table10[[#This Row],[FOUR WHEELER (INVALID CARRIAGE)]:[TWO WHEELER(T)]])</f>
        <v>15877</v>
      </c>
    </row>
    <row r="281" spans="1:18" x14ac:dyDescent="0.3">
      <c r="A281" s="1">
        <v>43800</v>
      </c>
      <c r="B281">
        <v>0</v>
      </c>
      <c r="C281">
        <v>0</v>
      </c>
      <c r="D281">
        <v>0</v>
      </c>
      <c r="E281">
        <v>41</v>
      </c>
      <c r="F281">
        <v>18</v>
      </c>
      <c r="G281">
        <v>57</v>
      </c>
      <c r="H281">
        <v>49</v>
      </c>
      <c r="I281">
        <v>0</v>
      </c>
      <c r="J281">
        <v>10</v>
      </c>
      <c r="K281">
        <v>0</v>
      </c>
      <c r="L281">
        <v>197</v>
      </c>
      <c r="M281">
        <v>15</v>
      </c>
      <c r="N281">
        <v>1</v>
      </c>
      <c r="O281">
        <v>14412</v>
      </c>
      <c r="P281">
        <v>1900</v>
      </c>
      <c r="Q281">
        <v>333</v>
      </c>
      <c r="R281">
        <f>SUM(Table10[[#This Row],[FOUR WHEELER (INVALID CARRIAGE)]:[TWO WHEELER(T)]])</f>
        <v>17033</v>
      </c>
    </row>
    <row r="282" spans="1:18" x14ac:dyDescent="0.3">
      <c r="A282" s="1">
        <v>44166</v>
      </c>
      <c r="B282">
        <v>0</v>
      </c>
      <c r="C282">
        <v>0</v>
      </c>
      <c r="D282">
        <v>0</v>
      </c>
      <c r="E282">
        <v>10</v>
      </c>
      <c r="F282">
        <v>1</v>
      </c>
      <c r="G282">
        <v>505</v>
      </c>
      <c r="H282">
        <v>18</v>
      </c>
      <c r="I282">
        <v>0</v>
      </c>
      <c r="J282">
        <v>0</v>
      </c>
      <c r="K282">
        <v>0</v>
      </c>
      <c r="L282">
        <v>124</v>
      </c>
      <c r="M282">
        <v>17</v>
      </c>
      <c r="N282">
        <v>1</v>
      </c>
      <c r="O282">
        <v>10230</v>
      </c>
      <c r="P282">
        <v>4564</v>
      </c>
      <c r="Q282">
        <v>384</v>
      </c>
      <c r="R282">
        <f>SUM(Table10[[#This Row],[FOUR WHEELER (INVALID CARRIAGE)]:[TWO WHEELER(T)]])</f>
        <v>15854</v>
      </c>
    </row>
    <row r="283" spans="1:18" x14ac:dyDescent="0.3">
      <c r="A283" s="1">
        <v>44531</v>
      </c>
      <c r="B283">
        <v>2</v>
      </c>
      <c r="C283">
        <v>0</v>
      </c>
      <c r="D283">
        <v>1</v>
      </c>
      <c r="E283">
        <v>218</v>
      </c>
      <c r="F283">
        <v>16</v>
      </c>
      <c r="G283">
        <v>2483</v>
      </c>
      <c r="H283">
        <v>133</v>
      </c>
      <c r="I283">
        <v>0</v>
      </c>
      <c r="J283">
        <v>2</v>
      </c>
      <c r="K283">
        <v>0</v>
      </c>
      <c r="L283">
        <v>124</v>
      </c>
      <c r="M283">
        <v>17</v>
      </c>
      <c r="N283">
        <v>0</v>
      </c>
      <c r="O283">
        <v>24115</v>
      </c>
      <c r="P283">
        <v>26150</v>
      </c>
      <c r="Q283">
        <v>494</v>
      </c>
      <c r="R283">
        <f>SUM(Table10[[#This Row],[FOUR WHEELER (INVALID CARRIAGE)]:[TWO WHEELER(T)]])</f>
        <v>53755</v>
      </c>
    </row>
    <row r="284" spans="1:18" x14ac:dyDescent="0.3">
      <c r="A284" s="1">
        <v>44896</v>
      </c>
      <c r="B284">
        <v>0</v>
      </c>
      <c r="C284">
        <v>0</v>
      </c>
      <c r="D284">
        <v>0</v>
      </c>
      <c r="E284">
        <v>146</v>
      </c>
      <c r="F284">
        <v>30</v>
      </c>
      <c r="G284">
        <v>2925</v>
      </c>
      <c r="H284">
        <v>915</v>
      </c>
      <c r="I284">
        <v>0</v>
      </c>
      <c r="J284">
        <v>15</v>
      </c>
      <c r="K284">
        <v>0</v>
      </c>
      <c r="L284">
        <v>673</v>
      </c>
      <c r="M284">
        <v>35</v>
      </c>
      <c r="N284">
        <v>0</v>
      </c>
      <c r="O284">
        <v>35604</v>
      </c>
      <c r="P284">
        <v>64525</v>
      </c>
      <c r="Q284">
        <v>138</v>
      </c>
      <c r="R284">
        <f>SUM(Table10[[#This Row],[FOUR WHEELER (INVALID CARRIAGE)]:[TWO WHEELER(T)]])</f>
        <v>105006</v>
      </c>
    </row>
    <row r="285" spans="1:18" x14ac:dyDescent="0.3">
      <c r="A285" s="1">
        <v>45261</v>
      </c>
      <c r="B285">
        <v>3</v>
      </c>
      <c r="C285">
        <v>16</v>
      </c>
      <c r="D285">
        <v>0</v>
      </c>
      <c r="E285">
        <v>491</v>
      </c>
      <c r="F285">
        <v>254</v>
      </c>
      <c r="G285">
        <v>7008</v>
      </c>
      <c r="H285">
        <v>499</v>
      </c>
      <c r="I285">
        <v>0</v>
      </c>
      <c r="J285">
        <v>86</v>
      </c>
      <c r="K285">
        <v>0</v>
      </c>
      <c r="L285">
        <v>0</v>
      </c>
      <c r="M285">
        <v>7</v>
      </c>
      <c r="N285">
        <v>0</v>
      </c>
      <c r="O285">
        <v>57647</v>
      </c>
      <c r="P285">
        <v>75748</v>
      </c>
      <c r="Q285">
        <v>188</v>
      </c>
      <c r="R285">
        <f>SUM(Table10[[#This Row],[FOUR WHEELER (INVALID CARRIAGE)]:[TWO WHEELER(T)]])</f>
        <v>141947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election activeCell="B8" sqref="B8"/>
    </sheetView>
  </sheetViews>
  <sheetFormatPr defaultRowHeight="14.4" x14ac:dyDescent="0.3"/>
  <cols>
    <col min="2" max="2" width="22.109375" customWidth="1"/>
  </cols>
  <sheetData>
    <row r="1" spans="1:2" x14ac:dyDescent="0.3">
      <c r="A1" t="s">
        <v>2</v>
      </c>
      <c r="B1" t="s">
        <v>1330</v>
      </c>
    </row>
    <row r="2" spans="1:2" x14ac:dyDescent="0.3">
      <c r="A2" t="s">
        <v>1331</v>
      </c>
      <c r="B2">
        <v>3</v>
      </c>
    </row>
    <row r="3" spans="1:2" x14ac:dyDescent="0.3">
      <c r="A3" t="s">
        <v>65</v>
      </c>
      <c r="B3">
        <v>327</v>
      </c>
    </row>
    <row r="4" spans="1:2" x14ac:dyDescent="0.3">
      <c r="A4" t="s">
        <v>1332</v>
      </c>
      <c r="B4">
        <v>9</v>
      </c>
    </row>
    <row r="5" spans="1:2" x14ac:dyDescent="0.3">
      <c r="A5" t="s">
        <v>1333</v>
      </c>
      <c r="B5">
        <v>86</v>
      </c>
    </row>
    <row r="6" spans="1:2" x14ac:dyDescent="0.3">
      <c r="A6" t="s">
        <v>1334</v>
      </c>
      <c r="B6">
        <v>124</v>
      </c>
    </row>
    <row r="7" spans="1:2" x14ac:dyDescent="0.3">
      <c r="A7" t="s">
        <v>1335</v>
      </c>
      <c r="B7">
        <v>12</v>
      </c>
    </row>
    <row r="8" spans="1:2" x14ac:dyDescent="0.3">
      <c r="A8" t="s">
        <v>1336</v>
      </c>
      <c r="B8">
        <f>SUM(OperationalPC!B3)</f>
        <v>327</v>
      </c>
    </row>
    <row r="9" spans="1:2" x14ac:dyDescent="0.3">
      <c r="A9" t="s">
        <v>1337</v>
      </c>
      <c r="B9">
        <v>1</v>
      </c>
    </row>
    <row r="10" spans="1:2" x14ac:dyDescent="0.3">
      <c r="A10" t="s">
        <v>12</v>
      </c>
      <c r="B10">
        <v>1886</v>
      </c>
    </row>
    <row r="11" spans="1:2" x14ac:dyDescent="0.3">
      <c r="A11" t="s">
        <v>1338</v>
      </c>
      <c r="B11">
        <v>113</v>
      </c>
    </row>
    <row r="12" spans="1:2" x14ac:dyDescent="0.3">
      <c r="A12" t="s">
        <v>23</v>
      </c>
      <c r="B12">
        <v>476</v>
      </c>
    </row>
    <row r="13" spans="1:2" x14ac:dyDescent="0.3">
      <c r="A13" t="s">
        <v>27</v>
      </c>
      <c r="B13">
        <v>377</v>
      </c>
    </row>
    <row r="14" spans="1:2" x14ac:dyDescent="0.3">
      <c r="A14" t="s">
        <v>1339</v>
      </c>
      <c r="B14">
        <v>44</v>
      </c>
    </row>
    <row r="15" spans="1:2" x14ac:dyDescent="0.3">
      <c r="A15" t="s">
        <v>1340</v>
      </c>
      <c r="B15">
        <v>47</v>
      </c>
    </row>
    <row r="16" spans="1:2" x14ac:dyDescent="0.3">
      <c r="A16" t="s">
        <v>1341</v>
      </c>
      <c r="B16">
        <v>135</v>
      </c>
    </row>
    <row r="17" spans="1:2" x14ac:dyDescent="0.3">
      <c r="A17" t="s">
        <v>8</v>
      </c>
      <c r="B17">
        <v>1041</v>
      </c>
    </row>
    <row r="18" spans="1:2" x14ac:dyDescent="0.3">
      <c r="A18" t="s">
        <v>1342</v>
      </c>
      <c r="B18">
        <v>852</v>
      </c>
    </row>
    <row r="19" spans="1:2" x14ac:dyDescent="0.3">
      <c r="A19" t="s">
        <v>1343</v>
      </c>
      <c r="B19">
        <v>1</v>
      </c>
    </row>
    <row r="20" spans="1:2" x14ac:dyDescent="0.3">
      <c r="A20" t="s">
        <v>68</v>
      </c>
      <c r="B20">
        <v>341</v>
      </c>
    </row>
    <row r="21" spans="1:2" x14ac:dyDescent="0.3">
      <c r="A21" t="s">
        <v>5</v>
      </c>
      <c r="B21">
        <v>3079</v>
      </c>
    </row>
    <row r="22" spans="1:2" x14ac:dyDescent="0.3">
      <c r="A22" t="s">
        <v>1344</v>
      </c>
      <c r="B22">
        <v>17</v>
      </c>
    </row>
    <row r="23" spans="1:2" x14ac:dyDescent="0.3">
      <c r="A23" t="s">
        <v>1345</v>
      </c>
      <c r="B23">
        <v>21</v>
      </c>
    </row>
    <row r="24" spans="1:2" x14ac:dyDescent="0.3">
      <c r="A24" t="s">
        <v>1346</v>
      </c>
      <c r="B24">
        <v>6</v>
      </c>
    </row>
    <row r="25" spans="1:2" x14ac:dyDescent="0.3">
      <c r="A25" t="s">
        <v>1347</v>
      </c>
      <c r="B25">
        <v>198</v>
      </c>
    </row>
    <row r="26" spans="1:2" x14ac:dyDescent="0.3">
      <c r="A26" t="s">
        <v>1348</v>
      </c>
      <c r="B26">
        <v>23</v>
      </c>
    </row>
    <row r="27" spans="1:2" x14ac:dyDescent="0.3">
      <c r="A27" t="s">
        <v>81</v>
      </c>
      <c r="B27">
        <v>158</v>
      </c>
    </row>
    <row r="28" spans="1:2" x14ac:dyDescent="0.3">
      <c r="A28" t="s">
        <v>32</v>
      </c>
      <c r="B28">
        <v>500</v>
      </c>
    </row>
    <row r="29" spans="1:2" x14ac:dyDescent="0.3">
      <c r="A29" t="s">
        <v>1349</v>
      </c>
      <c r="B29">
        <v>2</v>
      </c>
    </row>
    <row r="30" spans="1:2" x14ac:dyDescent="0.3">
      <c r="A30" t="s">
        <v>15</v>
      </c>
      <c r="B30">
        <v>643</v>
      </c>
    </row>
    <row r="31" spans="1:2" x14ac:dyDescent="0.3">
      <c r="A31" t="s">
        <v>44</v>
      </c>
      <c r="B31">
        <v>481</v>
      </c>
    </row>
    <row r="32" spans="1:2" x14ac:dyDescent="0.3">
      <c r="A32" t="s">
        <v>1350</v>
      </c>
      <c r="B32">
        <v>18</v>
      </c>
    </row>
    <row r="33" spans="1:2" x14ac:dyDescent="0.3">
      <c r="A33" t="s">
        <v>1351</v>
      </c>
      <c r="B33">
        <v>582</v>
      </c>
    </row>
    <row r="34" spans="1:2" x14ac:dyDescent="0.3">
      <c r="A34" t="s">
        <v>97</v>
      </c>
      <c r="B34">
        <v>76</v>
      </c>
    </row>
    <row r="35" spans="1:2" x14ac:dyDescent="0.3">
      <c r="A35" t="s">
        <v>51</v>
      </c>
      <c r="B35">
        <v>318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H20" sqref="H20"/>
    </sheetView>
  </sheetViews>
  <sheetFormatPr defaultRowHeight="14.4" x14ac:dyDescent="0.3"/>
  <cols>
    <col min="1" max="1" width="13.5546875" customWidth="1"/>
    <col min="2" max="2" width="17.5546875" customWidth="1"/>
  </cols>
  <sheetData>
    <row r="1" spans="1:2" x14ac:dyDescent="0.3">
      <c r="A1" t="s">
        <v>1352</v>
      </c>
      <c r="B1" t="s">
        <v>1353</v>
      </c>
    </row>
    <row r="2" spans="1:2" x14ac:dyDescent="0.3">
      <c r="A2" t="s">
        <v>113</v>
      </c>
      <c r="B2" s="2">
        <v>21346</v>
      </c>
    </row>
    <row r="3" spans="1:2" x14ac:dyDescent="0.3">
      <c r="A3" t="s">
        <v>114</v>
      </c>
      <c r="B3" s="2">
        <v>5870865</v>
      </c>
    </row>
    <row r="4" spans="1:2" x14ac:dyDescent="0.3">
      <c r="A4" t="s">
        <v>115</v>
      </c>
      <c r="B4" s="2">
        <v>102965</v>
      </c>
    </row>
    <row r="5" spans="1:2" x14ac:dyDescent="0.3">
      <c r="A5" t="s">
        <v>116</v>
      </c>
      <c r="B5" s="2">
        <v>828189</v>
      </c>
    </row>
    <row r="6" spans="1:2" x14ac:dyDescent="0.3">
      <c r="A6" t="s">
        <v>117</v>
      </c>
      <c r="B6" s="2">
        <v>10249591</v>
      </c>
    </row>
    <row r="7" spans="1:2" x14ac:dyDescent="0.3">
      <c r="A7" t="s">
        <v>118</v>
      </c>
      <c r="B7" s="2">
        <v>65061773</v>
      </c>
    </row>
    <row r="8" spans="1:2" x14ac:dyDescent="0.3">
      <c r="A8" t="s">
        <v>119</v>
      </c>
      <c r="B8" s="2">
        <v>4343410</v>
      </c>
    </row>
    <row r="9" spans="1:2" x14ac:dyDescent="0.3">
      <c r="A9" t="s">
        <v>120</v>
      </c>
      <c r="B9" s="2">
        <v>875789</v>
      </c>
    </row>
    <row r="10" spans="1:2" x14ac:dyDescent="0.3">
      <c r="A10" t="s">
        <v>122</v>
      </c>
      <c r="B10" s="2">
        <v>194600</v>
      </c>
    </row>
    <row r="11" spans="1:2" x14ac:dyDescent="0.3">
      <c r="A11" t="s">
        <v>121</v>
      </c>
      <c r="B11" s="2">
        <v>325015</v>
      </c>
    </row>
    <row r="12" spans="1:2" x14ac:dyDescent="0.3">
      <c r="A12" t="s">
        <v>123</v>
      </c>
      <c r="B12" s="2">
        <v>1126398</v>
      </c>
    </row>
    <row r="13" spans="1:2" x14ac:dyDescent="0.3">
      <c r="A13" t="s">
        <v>124</v>
      </c>
      <c r="B13" s="2">
        <v>679804</v>
      </c>
    </row>
    <row r="14" spans="1:2" x14ac:dyDescent="0.3">
      <c r="A14" t="s">
        <v>126</v>
      </c>
      <c r="B14" s="2">
        <v>10708473</v>
      </c>
    </row>
    <row r="15" spans="1:2" x14ac:dyDescent="0.3">
      <c r="A15" t="s">
        <v>125</v>
      </c>
      <c r="B15" s="2">
        <v>110788</v>
      </c>
    </row>
    <row r="16" spans="1:2" x14ac:dyDescent="0.3">
      <c r="A16" t="s">
        <v>127</v>
      </c>
      <c r="B16" s="2">
        <v>274971646</v>
      </c>
    </row>
    <row r="17" spans="1:2" x14ac:dyDescent="0.3">
      <c r="A17" t="s">
        <v>128</v>
      </c>
      <c r="B17" s="2">
        <v>129181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workbookViewId="0">
      <selection activeCell="F19" sqref="F19"/>
    </sheetView>
  </sheetViews>
  <sheetFormatPr defaultRowHeight="14.4" x14ac:dyDescent="0.3"/>
  <cols>
    <col min="1" max="1" width="22.21875" bestFit="1" customWidth="1"/>
    <col min="2" max="2" width="12.88671875" bestFit="1" customWidth="1"/>
    <col min="3" max="3" width="14.5546875" bestFit="1"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7</v>
      </c>
      <c r="C4" t="s">
        <v>8</v>
      </c>
    </row>
    <row r="5" spans="1:3" x14ac:dyDescent="0.3">
      <c r="A5" t="s">
        <v>10</v>
      </c>
      <c r="B5" t="s">
        <v>11</v>
      </c>
      <c r="C5" t="s">
        <v>12</v>
      </c>
    </row>
    <row r="6" spans="1:3" x14ac:dyDescent="0.3">
      <c r="A6" t="s">
        <v>13</v>
      </c>
      <c r="B6" t="s">
        <v>14</v>
      </c>
      <c r="C6" t="s">
        <v>15</v>
      </c>
    </row>
    <row r="7" spans="1:3" x14ac:dyDescent="0.3">
      <c r="A7" t="s">
        <v>16</v>
      </c>
      <c r="B7" t="s">
        <v>17</v>
      </c>
      <c r="C7" t="s">
        <v>15</v>
      </c>
    </row>
    <row r="8" spans="1:3" x14ac:dyDescent="0.3">
      <c r="A8" t="s">
        <v>18</v>
      </c>
      <c r="B8" t="s">
        <v>19</v>
      </c>
      <c r="C8" t="s">
        <v>15</v>
      </c>
    </row>
    <row r="9" spans="1:3" x14ac:dyDescent="0.3">
      <c r="A9" t="s">
        <v>20</v>
      </c>
      <c r="B9" t="s">
        <v>4</v>
      </c>
      <c r="C9" t="s">
        <v>5</v>
      </c>
    </row>
    <row r="10" spans="1:3" x14ac:dyDescent="0.3">
      <c r="A10" t="s">
        <v>21</v>
      </c>
      <c r="B10" t="s">
        <v>22</v>
      </c>
      <c r="C10" t="s">
        <v>23</v>
      </c>
    </row>
    <row r="11" spans="1:3" x14ac:dyDescent="0.3">
      <c r="A11" t="s">
        <v>24</v>
      </c>
      <c r="B11" t="s">
        <v>17</v>
      </c>
      <c r="C11" t="s">
        <v>15</v>
      </c>
    </row>
    <row r="12" spans="1:3" x14ac:dyDescent="0.3">
      <c r="A12" t="s">
        <v>25</v>
      </c>
      <c r="B12" t="s">
        <v>26</v>
      </c>
      <c r="C12" t="s">
        <v>27</v>
      </c>
    </row>
    <row r="13" spans="1:3" x14ac:dyDescent="0.3">
      <c r="A13" t="s">
        <v>28</v>
      </c>
      <c r="B13" t="s">
        <v>29</v>
      </c>
      <c r="C13" t="s">
        <v>15</v>
      </c>
    </row>
    <row r="14" spans="1:3" x14ac:dyDescent="0.3">
      <c r="A14" t="s">
        <v>30</v>
      </c>
      <c r="B14" t="s">
        <v>31</v>
      </c>
      <c r="C14" t="s">
        <v>32</v>
      </c>
    </row>
    <row r="15" spans="1:3" x14ac:dyDescent="0.3">
      <c r="A15" t="s">
        <v>33</v>
      </c>
      <c r="B15" t="s">
        <v>4</v>
      </c>
      <c r="C15" t="s">
        <v>5</v>
      </c>
    </row>
    <row r="16" spans="1:3" x14ac:dyDescent="0.3">
      <c r="A16" t="s">
        <v>34</v>
      </c>
      <c r="B16" t="s">
        <v>35</v>
      </c>
      <c r="C16" t="s">
        <v>15</v>
      </c>
    </row>
    <row r="17" spans="1:3" x14ac:dyDescent="0.3">
      <c r="A17" t="s">
        <v>36</v>
      </c>
      <c r="B17" t="s">
        <v>37</v>
      </c>
      <c r="C17" t="s">
        <v>27</v>
      </c>
    </row>
    <row r="18" spans="1:3" x14ac:dyDescent="0.3">
      <c r="A18" t="s">
        <v>38</v>
      </c>
      <c r="B18" t="s">
        <v>39</v>
      </c>
      <c r="C18" t="s">
        <v>5</v>
      </c>
    </row>
    <row r="19" spans="1:3" x14ac:dyDescent="0.3">
      <c r="A19" t="s">
        <v>40</v>
      </c>
      <c r="B19" t="s">
        <v>41</v>
      </c>
      <c r="C19" t="s">
        <v>27</v>
      </c>
    </row>
    <row r="20" spans="1:3" x14ac:dyDescent="0.3">
      <c r="A20" t="s">
        <v>42</v>
      </c>
      <c r="B20" t="s">
        <v>43</v>
      </c>
      <c r="C20" t="s">
        <v>44</v>
      </c>
    </row>
    <row r="21" spans="1:3" x14ac:dyDescent="0.3">
      <c r="A21" t="s">
        <v>45</v>
      </c>
      <c r="B21" t="s">
        <v>46</v>
      </c>
      <c r="C21" t="s">
        <v>23</v>
      </c>
    </row>
    <row r="22" spans="1:3" x14ac:dyDescent="0.3">
      <c r="A22" t="s">
        <v>47</v>
      </c>
      <c r="B22" t="s">
        <v>7</v>
      </c>
      <c r="C22" t="s">
        <v>8</v>
      </c>
    </row>
    <row r="23" spans="1:3" x14ac:dyDescent="0.3">
      <c r="A23" t="s">
        <v>48</v>
      </c>
      <c r="B23" t="s">
        <v>4</v>
      </c>
      <c r="C23" t="s">
        <v>5</v>
      </c>
    </row>
    <row r="24" spans="1:3" x14ac:dyDescent="0.3">
      <c r="A24" t="s">
        <v>49</v>
      </c>
      <c r="B24" t="s">
        <v>50</v>
      </c>
      <c r="C24" t="s">
        <v>51</v>
      </c>
    </row>
    <row r="25" spans="1:3" x14ac:dyDescent="0.3">
      <c r="A25" t="s">
        <v>52</v>
      </c>
      <c r="B25" t="s">
        <v>53</v>
      </c>
      <c r="C25" t="s">
        <v>5</v>
      </c>
    </row>
    <row r="26" spans="1:3" x14ac:dyDescent="0.3">
      <c r="A26" t="s">
        <v>54</v>
      </c>
      <c r="B26" t="s">
        <v>55</v>
      </c>
      <c r="C26" t="s">
        <v>27</v>
      </c>
    </row>
    <row r="27" spans="1:3" x14ac:dyDescent="0.3">
      <c r="A27" t="s">
        <v>56</v>
      </c>
      <c r="B27" t="s">
        <v>17</v>
      </c>
      <c r="C27" t="s">
        <v>15</v>
      </c>
    </row>
    <row r="28" spans="1:3" x14ac:dyDescent="0.3">
      <c r="A28" t="s">
        <v>57</v>
      </c>
      <c r="B28" t="s">
        <v>58</v>
      </c>
      <c r="C28" t="s">
        <v>15</v>
      </c>
    </row>
    <row r="29" spans="1:3" x14ac:dyDescent="0.3">
      <c r="A29" t="s">
        <v>59</v>
      </c>
      <c r="B29" t="s">
        <v>60</v>
      </c>
      <c r="C29" t="s">
        <v>5</v>
      </c>
    </row>
    <row r="30" spans="1:3" x14ac:dyDescent="0.3">
      <c r="A30" t="s">
        <v>61</v>
      </c>
      <c r="B30" t="s">
        <v>62</v>
      </c>
      <c r="C30" t="s">
        <v>5</v>
      </c>
    </row>
    <row r="31" spans="1:3" x14ac:dyDescent="0.3">
      <c r="A31" t="s">
        <v>63</v>
      </c>
      <c r="B31" t="s">
        <v>64</v>
      </c>
      <c r="C31" t="s">
        <v>65</v>
      </c>
    </row>
    <row r="32" spans="1:3" x14ac:dyDescent="0.3">
      <c r="A32" t="s">
        <v>66</v>
      </c>
      <c r="B32" t="s">
        <v>67</v>
      </c>
      <c r="C32" t="s">
        <v>68</v>
      </c>
    </row>
    <row r="33" spans="1:3" x14ac:dyDescent="0.3">
      <c r="A33" t="s">
        <v>69</v>
      </c>
      <c r="B33" t="s">
        <v>53</v>
      </c>
      <c r="C33" t="s">
        <v>5</v>
      </c>
    </row>
    <row r="34" spans="1:3" x14ac:dyDescent="0.3">
      <c r="A34" t="s">
        <v>70</v>
      </c>
      <c r="B34" t="s">
        <v>43</v>
      </c>
      <c r="C34" t="s">
        <v>44</v>
      </c>
    </row>
    <row r="35" spans="1:3" x14ac:dyDescent="0.3">
      <c r="A35" t="s">
        <v>71</v>
      </c>
      <c r="B35" t="s">
        <v>4</v>
      </c>
      <c r="C35" t="s">
        <v>5</v>
      </c>
    </row>
    <row r="36" spans="1:3" x14ac:dyDescent="0.3">
      <c r="A36" t="s">
        <v>72</v>
      </c>
      <c r="B36" t="s">
        <v>17</v>
      </c>
      <c r="C36" t="s">
        <v>15</v>
      </c>
    </row>
    <row r="37" spans="1:3" x14ac:dyDescent="0.3">
      <c r="A37" t="s">
        <v>73</v>
      </c>
      <c r="B37" t="s">
        <v>17</v>
      </c>
      <c r="C37" t="s">
        <v>15</v>
      </c>
    </row>
    <row r="38" spans="1:3" x14ac:dyDescent="0.3">
      <c r="A38" t="s">
        <v>74</v>
      </c>
      <c r="B38" t="s">
        <v>4</v>
      </c>
      <c r="C38" t="s">
        <v>5</v>
      </c>
    </row>
    <row r="39" spans="1:3" x14ac:dyDescent="0.3">
      <c r="A39" t="s">
        <v>75</v>
      </c>
      <c r="B39" t="s">
        <v>76</v>
      </c>
      <c r="C39" t="s">
        <v>51</v>
      </c>
    </row>
    <row r="40" spans="1:3" x14ac:dyDescent="0.3">
      <c r="A40" t="s">
        <v>77</v>
      </c>
      <c r="B40" t="s">
        <v>78</v>
      </c>
      <c r="C40" t="s">
        <v>23</v>
      </c>
    </row>
    <row r="41" spans="1:3" x14ac:dyDescent="0.3">
      <c r="A41" t="s">
        <v>79</v>
      </c>
      <c r="B41" t="s">
        <v>80</v>
      </c>
      <c r="C41" t="s">
        <v>81</v>
      </c>
    </row>
    <row r="42" spans="1:3" x14ac:dyDescent="0.3">
      <c r="A42" t="s">
        <v>82</v>
      </c>
      <c r="B42" t="s">
        <v>7</v>
      </c>
      <c r="C42" t="s">
        <v>8</v>
      </c>
    </row>
    <row r="43" spans="1:3" x14ac:dyDescent="0.3">
      <c r="A43" t="s">
        <v>83</v>
      </c>
      <c r="B43" t="s">
        <v>84</v>
      </c>
      <c r="C43" t="s">
        <v>23</v>
      </c>
    </row>
    <row r="44" spans="1:3" x14ac:dyDescent="0.3">
      <c r="A44" t="s">
        <v>85</v>
      </c>
      <c r="B44" t="s">
        <v>53</v>
      </c>
      <c r="C44" t="s">
        <v>5</v>
      </c>
    </row>
    <row r="45" spans="1:3" x14ac:dyDescent="0.3">
      <c r="A45" t="s">
        <v>86</v>
      </c>
      <c r="B45" t="s">
        <v>87</v>
      </c>
      <c r="C45" t="s">
        <v>32</v>
      </c>
    </row>
    <row r="46" spans="1:3" x14ac:dyDescent="0.3">
      <c r="A46" t="s">
        <v>88</v>
      </c>
      <c r="B46" t="s">
        <v>89</v>
      </c>
      <c r="C46" t="s">
        <v>32</v>
      </c>
    </row>
    <row r="47" spans="1:3" x14ac:dyDescent="0.3">
      <c r="A47" t="s">
        <v>90</v>
      </c>
      <c r="B47" t="s">
        <v>37</v>
      </c>
      <c r="C47" t="s">
        <v>27</v>
      </c>
    </row>
    <row r="48" spans="1:3" x14ac:dyDescent="0.3">
      <c r="A48" t="s">
        <v>91</v>
      </c>
      <c r="B48" t="s">
        <v>92</v>
      </c>
      <c r="C48" t="s">
        <v>5</v>
      </c>
    </row>
    <row r="49" spans="1:3" x14ac:dyDescent="0.3">
      <c r="A49" t="s">
        <v>93</v>
      </c>
      <c r="B49" t="s">
        <v>4</v>
      </c>
      <c r="C49" t="s">
        <v>5</v>
      </c>
    </row>
    <row r="50" spans="1:3" x14ac:dyDescent="0.3">
      <c r="A50" t="s">
        <v>94</v>
      </c>
      <c r="B50" t="s">
        <v>7</v>
      </c>
      <c r="C50" t="s">
        <v>8</v>
      </c>
    </row>
    <row r="51" spans="1:3" x14ac:dyDescent="0.3">
      <c r="A51" t="s">
        <v>95</v>
      </c>
      <c r="B51" t="s">
        <v>96</v>
      </c>
      <c r="C51" t="s">
        <v>97</v>
      </c>
    </row>
    <row r="52" spans="1:3" x14ac:dyDescent="0.3">
      <c r="A52" t="s">
        <v>98</v>
      </c>
      <c r="B52" t="s">
        <v>31</v>
      </c>
      <c r="C52" t="s">
        <v>32</v>
      </c>
    </row>
    <row r="53" spans="1:3" x14ac:dyDescent="0.3">
      <c r="A53" t="s">
        <v>99</v>
      </c>
      <c r="B53" t="s">
        <v>50</v>
      </c>
      <c r="C53" t="s">
        <v>51</v>
      </c>
    </row>
    <row r="54" spans="1:3" x14ac:dyDescent="0.3">
      <c r="A54" t="s">
        <v>100</v>
      </c>
      <c r="B54" t="s">
        <v>7</v>
      </c>
      <c r="C54" t="s">
        <v>8</v>
      </c>
    </row>
    <row r="55" spans="1:3" x14ac:dyDescent="0.3">
      <c r="A55" t="s">
        <v>101</v>
      </c>
      <c r="B55" t="s">
        <v>102</v>
      </c>
      <c r="C55" t="s">
        <v>27</v>
      </c>
    </row>
    <row r="56" spans="1:3" x14ac:dyDescent="0.3">
      <c r="A56" t="s">
        <v>103</v>
      </c>
      <c r="B56" t="s">
        <v>43</v>
      </c>
      <c r="C56" t="s">
        <v>44</v>
      </c>
    </row>
    <row r="57" spans="1:3" x14ac:dyDescent="0.3">
      <c r="A57" t="s">
        <v>104</v>
      </c>
      <c r="B57" t="s">
        <v>105</v>
      </c>
      <c r="C57" t="s">
        <v>5</v>
      </c>
    </row>
    <row r="58" spans="1:3" x14ac:dyDescent="0.3">
      <c r="A58" t="s">
        <v>106</v>
      </c>
      <c r="B58" t="s">
        <v>29</v>
      </c>
      <c r="C58" t="s">
        <v>15</v>
      </c>
    </row>
    <row r="59" spans="1:3" x14ac:dyDescent="0.3">
      <c r="A59" t="s">
        <v>107</v>
      </c>
      <c r="B59" t="s">
        <v>12</v>
      </c>
      <c r="C59" t="s">
        <v>12</v>
      </c>
    </row>
    <row r="60" spans="1:3" x14ac:dyDescent="0.3">
      <c r="A60" t="s">
        <v>108</v>
      </c>
      <c r="B60" t="s">
        <v>11</v>
      </c>
      <c r="C60" t="s">
        <v>12</v>
      </c>
    </row>
    <row r="61" spans="1:3" x14ac:dyDescent="0.3">
      <c r="A61" t="s">
        <v>109</v>
      </c>
      <c r="B61" t="s">
        <v>110</v>
      </c>
      <c r="C61" t="s">
        <v>23</v>
      </c>
    </row>
    <row r="62" spans="1:3" x14ac:dyDescent="0.3">
      <c r="A62" t="s">
        <v>95</v>
      </c>
      <c r="B62" t="s">
        <v>96</v>
      </c>
      <c r="C62" t="s">
        <v>97</v>
      </c>
    </row>
    <row r="63" spans="1:3" x14ac:dyDescent="0.3">
      <c r="A63" t="s">
        <v>111</v>
      </c>
      <c r="B63" t="s">
        <v>11</v>
      </c>
      <c r="C63" t="s">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06"/>
  <sheetViews>
    <sheetView zoomScale="67" workbookViewId="0">
      <selection activeCell="D8" sqref="D2:D11"/>
    </sheetView>
  </sheetViews>
  <sheetFormatPr defaultRowHeight="14.4" x14ac:dyDescent="0.3"/>
  <cols>
    <col min="1" max="1" width="15.33203125" customWidth="1"/>
    <col min="2" max="2" width="18.6640625" customWidth="1"/>
    <col min="3" max="3" width="30.109375" customWidth="1"/>
    <col min="4" max="4" width="12.6640625" customWidth="1"/>
    <col min="5" max="5" width="9.21875" customWidth="1"/>
    <col min="6" max="6" width="20.88671875" customWidth="1"/>
    <col min="7" max="7" width="63" customWidth="1"/>
    <col min="8" max="8" width="18.6640625" customWidth="1"/>
    <col min="9" max="9" width="9.5546875" customWidth="1"/>
    <col min="10" max="10" width="41.109375" customWidth="1"/>
    <col min="11" max="11" width="18.6640625" customWidth="1"/>
    <col min="12" max="12" width="11.6640625" customWidth="1"/>
    <col min="13" max="13" width="10.6640625" customWidth="1"/>
    <col min="14" max="14" width="9" customWidth="1"/>
    <col min="15" max="15" width="11.77734375" customWidth="1"/>
    <col min="16" max="16" width="21.6640625" customWidth="1"/>
    <col min="17" max="17" width="16.6640625" customWidth="1"/>
    <col min="18" max="18" width="16.109375" customWidth="1"/>
    <col min="19" max="19" width="11.77734375" customWidth="1"/>
    <col min="20" max="20" width="14.21875" customWidth="1"/>
    <col min="21" max="21" width="12.109375" customWidth="1"/>
    <col min="22" max="22" width="18.6640625" customWidth="1"/>
    <col min="23" max="23" width="14" customWidth="1"/>
    <col min="24" max="24" width="21.88671875" customWidth="1"/>
    <col min="25" max="25" width="11.44140625" customWidth="1"/>
    <col min="26" max="26" width="14.21875" customWidth="1"/>
    <col min="27" max="27" width="16.21875" customWidth="1"/>
    <col min="28" max="28" width="18.77734375" customWidth="1"/>
    <col min="29" max="29" width="18.6640625" customWidth="1"/>
    <col min="30" max="30" width="9.109375" customWidth="1"/>
    <col min="31" max="31" width="11.77734375" customWidth="1"/>
    <col min="32" max="32" width="10.6640625" customWidth="1"/>
    <col min="33" max="33" width="14.88671875" customWidth="1"/>
    <col min="34" max="34" width="22.88671875" customWidth="1"/>
    <col min="35" max="35" width="18.5546875" customWidth="1"/>
    <col min="36" max="36" width="19" customWidth="1"/>
    <col min="37" max="37" width="15.77734375" customWidth="1"/>
    <col min="38" max="38" width="13.88671875" customWidth="1"/>
    <col min="39" max="39" width="17.44140625" customWidth="1"/>
    <col min="40" max="40" width="18.77734375" customWidth="1"/>
    <col min="41" max="41" width="14.5546875" customWidth="1"/>
    <col min="42" max="42" width="15.21875" customWidth="1"/>
    <col min="43" max="43" width="16.6640625" customWidth="1"/>
    <col min="44" max="44" width="10.21875" customWidth="1"/>
    <col min="45" max="45" width="16.21875" customWidth="1"/>
    <col min="46" max="46" width="19" customWidth="1"/>
    <col min="47" max="47" width="14.5546875" customWidth="1"/>
    <col min="48" max="48" width="12.109375" customWidth="1"/>
    <col min="49" max="49" width="12.88671875" customWidth="1"/>
    <col min="50" max="50" width="11.88671875" customWidth="1"/>
    <col min="51" max="51" width="16.77734375" customWidth="1"/>
    <col min="52" max="52" width="12.88671875" customWidth="1"/>
    <col min="53" max="53" width="9.44140625" customWidth="1"/>
    <col min="54" max="54" width="21.88671875" customWidth="1"/>
    <col min="55" max="55" width="11.21875" customWidth="1"/>
    <col min="56" max="56" width="10.44140625" customWidth="1"/>
    <col min="57" max="57" width="16.6640625" customWidth="1"/>
    <col min="58" max="58" width="12.44140625" customWidth="1"/>
    <col min="59" max="59" width="13.77734375" customWidth="1"/>
    <col min="60" max="60" width="18.77734375" customWidth="1"/>
    <col min="61" max="61" width="11.44140625" customWidth="1"/>
    <col min="62" max="62" width="16.21875" customWidth="1"/>
    <col min="63" max="63" width="10.77734375" customWidth="1"/>
    <col min="64" max="64" width="18.77734375" bestFit="1" customWidth="1"/>
    <col min="65" max="65" width="11.44140625" customWidth="1"/>
    <col min="66" max="66" width="16.21875" bestFit="1" customWidth="1"/>
    <col min="67" max="67" width="10.77734375" customWidth="1"/>
    <col min="68" max="492" width="16.21875" bestFit="1" customWidth="1"/>
    <col min="493" max="493" width="21" bestFit="1" customWidth="1"/>
  </cols>
  <sheetData>
    <row r="1" spans="1:19" x14ac:dyDescent="0.3">
      <c r="A1" s="5" t="s">
        <v>1365</v>
      </c>
      <c r="B1" t="s">
        <v>1378</v>
      </c>
      <c r="D1" s="5" t="s">
        <v>1387</v>
      </c>
      <c r="J1" s="5" t="s">
        <v>1365</v>
      </c>
      <c r="K1" t="s">
        <v>1378</v>
      </c>
    </row>
    <row r="2" spans="1:19" x14ac:dyDescent="0.3">
      <c r="A2" s="6" t="s">
        <v>133</v>
      </c>
      <c r="B2" s="7">
        <v>2279448</v>
      </c>
      <c r="D2" s="6" t="s">
        <v>1367</v>
      </c>
      <c r="E2" s="7">
        <v>7752</v>
      </c>
      <c r="J2" s="6" t="s">
        <v>872</v>
      </c>
      <c r="K2" s="7">
        <v>588266</v>
      </c>
      <c r="O2" s="7"/>
      <c r="P2" s="7"/>
      <c r="R2" s="6"/>
      <c r="S2" s="7"/>
    </row>
    <row r="3" spans="1:19" x14ac:dyDescent="0.3">
      <c r="A3" s="6" t="s">
        <v>131</v>
      </c>
      <c r="B3" s="7">
        <v>1934263</v>
      </c>
      <c r="D3" s="6" t="s">
        <v>1368</v>
      </c>
      <c r="E3" s="7">
        <v>49249</v>
      </c>
      <c r="J3" s="6" t="s">
        <v>1190</v>
      </c>
      <c r="K3" s="7">
        <v>318445</v>
      </c>
      <c r="R3" s="6"/>
      <c r="S3" s="7"/>
    </row>
    <row r="4" spans="1:19" x14ac:dyDescent="0.3">
      <c r="A4" s="6" t="s">
        <v>136</v>
      </c>
      <c r="B4" s="7">
        <v>206388</v>
      </c>
      <c r="D4" s="6" t="s">
        <v>1369</v>
      </c>
      <c r="E4" s="7">
        <v>87019</v>
      </c>
      <c r="J4" s="6" t="s">
        <v>234</v>
      </c>
      <c r="K4" s="7">
        <v>236387</v>
      </c>
      <c r="R4" s="6"/>
      <c r="S4" s="7"/>
    </row>
    <row r="5" spans="1:19" x14ac:dyDescent="0.3">
      <c r="A5" s="6" t="s">
        <v>181</v>
      </c>
      <c r="B5" s="7">
        <v>804</v>
      </c>
      <c r="D5" s="6" t="s">
        <v>1370</v>
      </c>
      <c r="E5" s="7">
        <v>129763</v>
      </c>
      <c r="J5" s="6" t="s">
        <v>545</v>
      </c>
      <c r="K5" s="7">
        <v>201785</v>
      </c>
      <c r="R5" s="6"/>
      <c r="S5" s="7"/>
    </row>
    <row r="6" spans="1:19" x14ac:dyDescent="0.3">
      <c r="A6" s="6" t="s">
        <v>1366</v>
      </c>
      <c r="B6" s="7">
        <v>4420903</v>
      </c>
      <c r="D6" s="6" t="s">
        <v>1371</v>
      </c>
      <c r="E6" s="7">
        <v>165786</v>
      </c>
      <c r="J6" s="6" t="s">
        <v>260</v>
      </c>
      <c r="K6" s="7">
        <v>198498</v>
      </c>
      <c r="R6" s="6"/>
      <c r="S6" s="7"/>
    </row>
    <row r="7" spans="1:19" x14ac:dyDescent="0.3">
      <c r="D7" s="6" t="s">
        <v>1372</v>
      </c>
      <c r="E7" s="7">
        <v>123770</v>
      </c>
      <c r="J7" s="6" t="s">
        <v>871</v>
      </c>
      <c r="K7" s="7">
        <v>196182</v>
      </c>
      <c r="R7" s="6"/>
      <c r="S7" s="7"/>
    </row>
    <row r="8" spans="1:19" x14ac:dyDescent="0.3">
      <c r="B8">
        <f>MAX(B2:B5)</f>
        <v>2279448</v>
      </c>
      <c r="D8" s="6" t="s">
        <v>1373</v>
      </c>
      <c r="E8" s="7">
        <v>328854</v>
      </c>
      <c r="J8" s="6" t="s">
        <v>1304</v>
      </c>
      <c r="K8" s="7">
        <v>152951</v>
      </c>
      <c r="R8" s="6"/>
      <c r="S8" s="7"/>
    </row>
    <row r="9" spans="1:19" x14ac:dyDescent="0.3">
      <c r="B9" t="str">
        <f>INDEX(A2:A5,MATCH(B8,B2:B5,0))</f>
        <v>2W</v>
      </c>
      <c r="D9" s="6" t="s">
        <v>1374</v>
      </c>
      <c r="E9" s="7">
        <v>1020533</v>
      </c>
      <c r="G9" s="5" t="s">
        <v>1365</v>
      </c>
      <c r="H9" t="s">
        <v>1378</v>
      </c>
      <c r="J9" s="6" t="s">
        <v>197</v>
      </c>
      <c r="K9" s="7">
        <v>141805</v>
      </c>
      <c r="R9" s="6"/>
      <c r="S9" s="7"/>
    </row>
    <row r="10" spans="1:19" x14ac:dyDescent="0.3">
      <c r="D10" s="6" t="s">
        <v>1375</v>
      </c>
      <c r="E10" s="7">
        <v>1529234</v>
      </c>
      <c r="G10" s="6" t="s">
        <v>1329</v>
      </c>
      <c r="H10" s="7">
        <v>210</v>
      </c>
      <c r="J10" s="6" t="s">
        <v>1003</v>
      </c>
      <c r="K10" s="7">
        <v>87481</v>
      </c>
      <c r="R10" s="6"/>
      <c r="S10" s="7"/>
    </row>
    <row r="11" spans="1:19" x14ac:dyDescent="0.3">
      <c r="D11" s="6" t="s">
        <v>1376</v>
      </c>
      <c r="E11" s="7">
        <v>978943</v>
      </c>
      <c r="G11" s="6" t="s">
        <v>1328</v>
      </c>
      <c r="H11" s="7">
        <v>5</v>
      </c>
      <c r="J11" s="6" t="s">
        <v>774</v>
      </c>
      <c r="K11" s="7">
        <v>84794</v>
      </c>
      <c r="L11" s="7"/>
      <c r="M11" s="7"/>
      <c r="R11" s="6"/>
      <c r="S11" s="7"/>
    </row>
    <row r="12" spans="1:19" x14ac:dyDescent="0.3">
      <c r="G12" s="6" t="s">
        <v>1327</v>
      </c>
      <c r="H12" s="7">
        <v>54</v>
      </c>
      <c r="J12" s="6" t="s">
        <v>1366</v>
      </c>
      <c r="K12" s="7">
        <v>2206594</v>
      </c>
      <c r="M12">
        <f>MAX(K2:K11)</f>
        <v>588266</v>
      </c>
      <c r="R12" s="6"/>
      <c r="S12" s="7"/>
    </row>
    <row r="13" spans="1:19" x14ac:dyDescent="0.3">
      <c r="G13" s="6" t="s">
        <v>1326</v>
      </c>
      <c r="H13" s="7">
        <v>70</v>
      </c>
      <c r="M13" t="str">
        <f>INDEX(G10:G1205,MATCH(M12,H10:H1205,0))</f>
        <v>OLA ELECTRIC TECHNOLOGIES PVT LTD</v>
      </c>
    </row>
    <row r="14" spans="1:19" x14ac:dyDescent="0.3">
      <c r="G14" s="6" t="s">
        <v>1325</v>
      </c>
      <c r="H14" s="7">
        <v>75</v>
      </c>
    </row>
    <row r="15" spans="1:19" x14ac:dyDescent="0.3">
      <c r="D15" s="6"/>
      <c r="E15" s="8"/>
      <c r="G15" s="6" t="s">
        <v>1324</v>
      </c>
      <c r="H15" s="7">
        <v>130</v>
      </c>
    </row>
    <row r="16" spans="1:19" x14ac:dyDescent="0.3">
      <c r="D16" s="6"/>
      <c r="E16" s="8"/>
      <c r="G16" s="6" t="s">
        <v>1323</v>
      </c>
      <c r="H16" s="7">
        <v>69</v>
      </c>
    </row>
    <row r="17" spans="1:8" x14ac:dyDescent="0.3">
      <c r="D17" s="6"/>
      <c r="E17" s="8"/>
      <c r="G17" s="6" t="s">
        <v>1322</v>
      </c>
      <c r="H17" s="7">
        <v>7523</v>
      </c>
    </row>
    <row r="18" spans="1:8" x14ac:dyDescent="0.3">
      <c r="D18" s="6"/>
      <c r="E18" s="8"/>
      <c r="G18" s="6" t="s">
        <v>1321</v>
      </c>
      <c r="H18" s="7">
        <v>1671</v>
      </c>
    </row>
    <row r="19" spans="1:8" x14ac:dyDescent="0.3">
      <c r="D19" s="6"/>
      <c r="E19" s="8"/>
      <c r="G19" s="6" t="s">
        <v>1320</v>
      </c>
      <c r="H19" s="7">
        <v>12261</v>
      </c>
    </row>
    <row r="20" spans="1:8" x14ac:dyDescent="0.3">
      <c r="G20" s="6" t="s">
        <v>1319</v>
      </c>
      <c r="H20" s="7">
        <v>21</v>
      </c>
    </row>
    <row r="21" spans="1:8" x14ac:dyDescent="0.3">
      <c r="G21" s="6" t="s">
        <v>1318</v>
      </c>
      <c r="H21" s="7">
        <v>39</v>
      </c>
    </row>
    <row r="22" spans="1:8" x14ac:dyDescent="0.3">
      <c r="G22" s="6" t="s">
        <v>1317</v>
      </c>
      <c r="H22" s="7">
        <v>211</v>
      </c>
    </row>
    <row r="23" spans="1:8" x14ac:dyDescent="0.3">
      <c r="B23" t="s">
        <v>1379</v>
      </c>
      <c r="G23" s="6" t="s">
        <v>1316</v>
      </c>
      <c r="H23" s="7">
        <v>115</v>
      </c>
    </row>
    <row r="24" spans="1:8" x14ac:dyDescent="0.3">
      <c r="G24" s="6" t="s">
        <v>1315</v>
      </c>
      <c r="H24" s="7">
        <v>57</v>
      </c>
    </row>
    <row r="25" spans="1:8" x14ac:dyDescent="0.3">
      <c r="A25" t="s">
        <v>1380</v>
      </c>
      <c r="G25" s="6" t="s">
        <v>1314</v>
      </c>
      <c r="H25" s="7">
        <v>103</v>
      </c>
    </row>
    <row r="26" spans="1:8" x14ac:dyDescent="0.3">
      <c r="A26" s="7">
        <v>4489948</v>
      </c>
      <c r="C26" s="5" t="s">
        <v>1365</v>
      </c>
      <c r="D26" t="s">
        <v>1380</v>
      </c>
      <c r="G26" s="6" t="s">
        <v>1313</v>
      </c>
      <c r="H26" s="7">
        <v>23</v>
      </c>
    </row>
    <row r="27" spans="1:8" x14ac:dyDescent="0.3">
      <c r="C27" s="6" t="s">
        <v>127</v>
      </c>
      <c r="D27" s="7">
        <v>274971646</v>
      </c>
      <c r="F27" s="6"/>
      <c r="G27" s="6" t="s">
        <v>1312</v>
      </c>
      <c r="H27" s="7">
        <v>450</v>
      </c>
    </row>
    <row r="28" spans="1:8" x14ac:dyDescent="0.3">
      <c r="C28" s="6" t="s">
        <v>118</v>
      </c>
      <c r="D28" s="7">
        <v>65061773</v>
      </c>
      <c r="F28" s="6"/>
      <c r="G28" s="6" t="s">
        <v>1311</v>
      </c>
      <c r="H28" s="7">
        <v>13</v>
      </c>
    </row>
    <row r="29" spans="1:8" x14ac:dyDescent="0.3">
      <c r="C29" s="6" t="s">
        <v>126</v>
      </c>
      <c r="D29" s="7">
        <v>10708473</v>
      </c>
      <c r="F29" s="6"/>
      <c r="G29" s="6" t="s">
        <v>1310</v>
      </c>
      <c r="H29" s="7">
        <v>36</v>
      </c>
    </row>
    <row r="30" spans="1:8" x14ac:dyDescent="0.3">
      <c r="C30" s="6" t="s">
        <v>117</v>
      </c>
      <c r="D30" s="7">
        <v>10249591</v>
      </c>
      <c r="F30" s="6"/>
      <c r="G30" s="6" t="s">
        <v>1309</v>
      </c>
      <c r="H30" s="7">
        <v>3</v>
      </c>
    </row>
    <row r="31" spans="1:8" x14ac:dyDescent="0.3">
      <c r="C31" s="6" t="s">
        <v>114</v>
      </c>
      <c r="D31" s="7">
        <v>5870865</v>
      </c>
      <c r="F31" s="6"/>
      <c r="G31" s="6" t="s">
        <v>1308</v>
      </c>
      <c r="H31" s="7">
        <v>181</v>
      </c>
    </row>
    <row r="32" spans="1:8" x14ac:dyDescent="0.3">
      <c r="C32" s="6" t="s">
        <v>119</v>
      </c>
      <c r="D32" s="7">
        <v>4343410</v>
      </c>
      <c r="F32" s="6"/>
      <c r="G32" s="6" t="s">
        <v>1307</v>
      </c>
      <c r="H32" s="7">
        <v>191</v>
      </c>
    </row>
    <row r="33" spans="1:8" x14ac:dyDescent="0.3">
      <c r="C33" s="6" t="s">
        <v>123</v>
      </c>
      <c r="D33" s="7">
        <v>1126398</v>
      </c>
      <c r="F33" s="6"/>
      <c r="G33" s="6" t="s">
        <v>1306</v>
      </c>
      <c r="H33" s="7">
        <v>2</v>
      </c>
    </row>
    <row r="34" spans="1:8" x14ac:dyDescent="0.3">
      <c r="C34" s="6" t="s">
        <v>120</v>
      </c>
      <c r="D34" s="7">
        <v>875789</v>
      </c>
      <c r="F34" s="6"/>
      <c r="G34" s="6" t="s">
        <v>1305</v>
      </c>
      <c r="H34" s="7">
        <v>77</v>
      </c>
    </row>
    <row r="35" spans="1:8" x14ac:dyDescent="0.3">
      <c r="C35" s="6" t="s">
        <v>116</v>
      </c>
      <c r="D35" s="7">
        <v>828189</v>
      </c>
      <c r="F35" s="6"/>
      <c r="G35" s="6" t="s">
        <v>1304</v>
      </c>
      <c r="H35" s="7">
        <v>152951</v>
      </c>
    </row>
    <row r="36" spans="1:8" x14ac:dyDescent="0.3">
      <c r="C36" s="6" t="s">
        <v>124</v>
      </c>
      <c r="D36" s="7">
        <v>679804</v>
      </c>
      <c r="F36" s="6"/>
      <c r="G36" s="6" t="s">
        <v>1303</v>
      </c>
      <c r="H36" s="7">
        <v>24</v>
      </c>
    </row>
    <row r="37" spans="1:8" x14ac:dyDescent="0.3">
      <c r="C37" s="6" t="s">
        <v>1366</v>
      </c>
      <c r="D37" s="7">
        <v>374715938</v>
      </c>
      <c r="F37" s="6"/>
      <c r="G37" s="6" t="s">
        <v>1302</v>
      </c>
      <c r="H37" s="7">
        <v>53</v>
      </c>
    </row>
    <row r="38" spans="1:8" x14ac:dyDescent="0.3">
      <c r="F38" s="6"/>
      <c r="G38" s="6" t="s">
        <v>1301</v>
      </c>
      <c r="H38" s="7">
        <v>157</v>
      </c>
    </row>
    <row r="39" spans="1:8" x14ac:dyDescent="0.3">
      <c r="F39" s="6"/>
      <c r="G39" s="6" t="s">
        <v>1300</v>
      </c>
      <c r="H39" s="7">
        <v>5</v>
      </c>
    </row>
    <row r="40" spans="1:8" x14ac:dyDescent="0.3">
      <c r="F40" s="6"/>
      <c r="G40" s="6" t="s">
        <v>1299</v>
      </c>
      <c r="H40" s="7">
        <v>10</v>
      </c>
    </row>
    <row r="41" spans="1:8" x14ac:dyDescent="0.3">
      <c r="F41" s="6"/>
      <c r="G41" s="6" t="s">
        <v>1298</v>
      </c>
      <c r="H41" s="7">
        <v>42</v>
      </c>
    </row>
    <row r="42" spans="1:8" x14ac:dyDescent="0.3">
      <c r="F42" s="6"/>
      <c r="G42" s="6" t="s">
        <v>1297</v>
      </c>
      <c r="H42" s="7">
        <v>258</v>
      </c>
    </row>
    <row r="43" spans="1:8" x14ac:dyDescent="0.3">
      <c r="F43" s="6"/>
      <c r="G43" s="6" t="s">
        <v>1296</v>
      </c>
      <c r="H43" s="7">
        <v>4218</v>
      </c>
    </row>
    <row r="44" spans="1:8" x14ac:dyDescent="0.3">
      <c r="G44" s="6" t="s">
        <v>1295</v>
      </c>
      <c r="H44" s="7">
        <v>427</v>
      </c>
    </row>
    <row r="45" spans="1:8" x14ac:dyDescent="0.3">
      <c r="D45">
        <f>MAX(D27:D36)</f>
        <v>274971646</v>
      </c>
      <c r="E45" t="str">
        <f>INDEX(C26:C36,MATCH(D45,D26:D36,0))</f>
        <v>TWO WHEELER(NT)</v>
      </c>
      <c r="F45" s="6" t="s">
        <v>1386</v>
      </c>
      <c r="G45" s="6" t="s">
        <v>1294</v>
      </c>
      <c r="H45" s="7">
        <v>122</v>
      </c>
    </row>
    <row r="46" spans="1:8" x14ac:dyDescent="0.3">
      <c r="G46" s="6" t="s">
        <v>1293</v>
      </c>
      <c r="H46" s="7">
        <v>107</v>
      </c>
    </row>
    <row r="47" spans="1:8" x14ac:dyDescent="0.3">
      <c r="A47" t="s">
        <v>1381</v>
      </c>
      <c r="G47" s="6" t="s">
        <v>1292</v>
      </c>
      <c r="H47" s="7">
        <v>418</v>
      </c>
    </row>
    <row r="48" spans="1:8" x14ac:dyDescent="0.3">
      <c r="G48" s="6" t="s">
        <v>1291</v>
      </c>
      <c r="H48" s="7">
        <v>24</v>
      </c>
    </row>
    <row r="49" spans="2:8" x14ac:dyDescent="0.3">
      <c r="B49" s="5" t="s">
        <v>1365</v>
      </c>
      <c r="C49" t="s">
        <v>1382</v>
      </c>
      <c r="G49" s="6" t="s">
        <v>1290</v>
      </c>
      <c r="H49" s="7">
        <v>35</v>
      </c>
    </row>
    <row r="50" spans="2:8" x14ac:dyDescent="0.3">
      <c r="B50" s="6" t="s">
        <v>5</v>
      </c>
      <c r="C50" s="7">
        <v>3079</v>
      </c>
      <c r="G50" s="6" t="s">
        <v>1289</v>
      </c>
      <c r="H50" s="7">
        <v>460</v>
      </c>
    </row>
    <row r="51" spans="2:8" x14ac:dyDescent="0.3">
      <c r="B51" s="6" t="s">
        <v>12</v>
      </c>
      <c r="C51" s="7">
        <v>1886</v>
      </c>
      <c r="E51" s="6"/>
      <c r="F51" s="7"/>
      <c r="G51" s="6" t="s">
        <v>1288</v>
      </c>
      <c r="H51" s="7">
        <v>16</v>
      </c>
    </row>
    <row r="52" spans="2:8" x14ac:dyDescent="0.3">
      <c r="B52" s="6" t="s">
        <v>8</v>
      </c>
      <c r="C52" s="7">
        <v>1041</v>
      </c>
      <c r="E52" s="6"/>
      <c r="F52" s="7"/>
      <c r="G52" s="6" t="s">
        <v>1287</v>
      </c>
      <c r="H52" s="7">
        <v>9</v>
      </c>
    </row>
    <row r="53" spans="2:8" x14ac:dyDescent="0.3">
      <c r="B53" s="6" t="s">
        <v>1342</v>
      </c>
      <c r="C53" s="7">
        <v>852</v>
      </c>
      <c r="E53" s="6"/>
      <c r="F53" s="7"/>
      <c r="G53" s="6" t="s">
        <v>1286</v>
      </c>
      <c r="H53" s="7">
        <v>36</v>
      </c>
    </row>
    <row r="54" spans="2:8" x14ac:dyDescent="0.3">
      <c r="B54" s="6" t="s">
        <v>15</v>
      </c>
      <c r="C54" s="7">
        <v>643</v>
      </c>
      <c r="E54" s="6"/>
      <c r="F54" s="7"/>
      <c r="G54" s="6" t="s">
        <v>1285</v>
      </c>
      <c r="H54" s="7">
        <v>9</v>
      </c>
    </row>
    <row r="55" spans="2:8" x14ac:dyDescent="0.3">
      <c r="B55" s="6" t="s">
        <v>1351</v>
      </c>
      <c r="C55" s="7">
        <v>582</v>
      </c>
      <c r="E55" s="6"/>
      <c r="F55" s="7"/>
      <c r="G55" s="6" t="s">
        <v>1284</v>
      </c>
      <c r="H55" s="7">
        <v>557</v>
      </c>
    </row>
    <row r="56" spans="2:8" x14ac:dyDescent="0.3">
      <c r="B56" s="6" t="s">
        <v>32</v>
      </c>
      <c r="C56" s="7">
        <v>500</v>
      </c>
      <c r="E56" s="6"/>
      <c r="F56" s="7"/>
      <c r="G56" s="6" t="s">
        <v>1283</v>
      </c>
      <c r="H56" s="7">
        <v>32</v>
      </c>
    </row>
    <row r="57" spans="2:8" x14ac:dyDescent="0.3">
      <c r="B57" s="6" t="s">
        <v>44</v>
      </c>
      <c r="C57" s="7">
        <v>481</v>
      </c>
      <c r="E57" s="6"/>
      <c r="F57" s="7"/>
      <c r="G57" s="6" t="s">
        <v>1282</v>
      </c>
      <c r="H57" s="7">
        <v>229</v>
      </c>
    </row>
    <row r="58" spans="2:8" x14ac:dyDescent="0.3">
      <c r="B58" s="6" t="s">
        <v>23</v>
      </c>
      <c r="C58" s="7">
        <v>476</v>
      </c>
      <c r="E58" s="6"/>
      <c r="F58" s="7"/>
      <c r="G58" s="6" t="s">
        <v>1281</v>
      </c>
      <c r="H58" s="7">
        <v>51</v>
      </c>
    </row>
    <row r="59" spans="2:8" x14ac:dyDescent="0.3">
      <c r="B59" s="6" t="s">
        <v>27</v>
      </c>
      <c r="C59" s="7">
        <v>377</v>
      </c>
      <c r="E59" s="6"/>
      <c r="F59" s="7"/>
      <c r="G59" s="6" t="s">
        <v>1280</v>
      </c>
      <c r="H59" s="7">
        <v>43</v>
      </c>
    </row>
    <row r="60" spans="2:8" x14ac:dyDescent="0.3">
      <c r="B60" s="6" t="s">
        <v>68</v>
      </c>
      <c r="C60" s="7">
        <v>341</v>
      </c>
      <c r="G60" s="6" t="s">
        <v>1279</v>
      </c>
      <c r="H60" s="7">
        <v>48</v>
      </c>
    </row>
    <row r="61" spans="2:8" x14ac:dyDescent="0.3">
      <c r="B61" s="6" t="s">
        <v>1336</v>
      </c>
      <c r="C61" s="7">
        <v>327</v>
      </c>
      <c r="E61" s="6"/>
      <c r="G61" s="6" t="s">
        <v>1278</v>
      </c>
      <c r="H61" s="7">
        <v>46</v>
      </c>
    </row>
    <row r="62" spans="2:8" x14ac:dyDescent="0.3">
      <c r="B62" s="6" t="s">
        <v>65</v>
      </c>
      <c r="C62" s="7">
        <v>327</v>
      </c>
      <c r="E62" s="6"/>
      <c r="G62" s="6" t="s">
        <v>1277</v>
      </c>
      <c r="H62" s="7">
        <v>63</v>
      </c>
    </row>
    <row r="63" spans="2:8" x14ac:dyDescent="0.3">
      <c r="B63" s="6" t="s">
        <v>51</v>
      </c>
      <c r="C63" s="7">
        <v>318</v>
      </c>
      <c r="E63" s="6"/>
      <c r="G63" s="6" t="s">
        <v>1276</v>
      </c>
      <c r="H63" s="7">
        <v>295</v>
      </c>
    </row>
    <row r="64" spans="2:8" x14ac:dyDescent="0.3">
      <c r="B64" s="6" t="s">
        <v>1347</v>
      </c>
      <c r="C64" s="7">
        <v>198</v>
      </c>
      <c r="E64" s="6"/>
      <c r="G64" s="6" t="s">
        <v>1275</v>
      </c>
      <c r="H64" s="7">
        <v>26</v>
      </c>
    </row>
    <row r="65" spans="2:8" x14ac:dyDescent="0.3">
      <c r="B65" s="6" t="s">
        <v>81</v>
      </c>
      <c r="C65" s="7">
        <v>158</v>
      </c>
      <c r="E65" s="6"/>
      <c r="G65" s="6" t="s">
        <v>1274</v>
      </c>
      <c r="H65" s="7">
        <v>709</v>
      </c>
    </row>
    <row r="66" spans="2:8" x14ac:dyDescent="0.3">
      <c r="B66" s="6" t="s">
        <v>1341</v>
      </c>
      <c r="C66" s="7">
        <v>135</v>
      </c>
      <c r="E66" s="6"/>
      <c r="G66" s="6" t="s">
        <v>1273</v>
      </c>
      <c r="H66" s="7">
        <v>13</v>
      </c>
    </row>
    <row r="67" spans="2:8" x14ac:dyDescent="0.3">
      <c r="B67" s="6" t="s">
        <v>1334</v>
      </c>
      <c r="C67" s="7">
        <v>124</v>
      </c>
      <c r="E67" s="6"/>
      <c r="G67" s="6" t="s">
        <v>1272</v>
      </c>
      <c r="H67" s="7">
        <v>31</v>
      </c>
    </row>
    <row r="68" spans="2:8" x14ac:dyDescent="0.3">
      <c r="B68" s="6" t="s">
        <v>1338</v>
      </c>
      <c r="C68" s="7">
        <v>113</v>
      </c>
      <c r="E68" s="6"/>
      <c r="G68" s="6" t="s">
        <v>1271</v>
      </c>
      <c r="H68" s="7">
        <v>17</v>
      </c>
    </row>
    <row r="69" spans="2:8" x14ac:dyDescent="0.3">
      <c r="B69" s="6" t="s">
        <v>1333</v>
      </c>
      <c r="C69" s="7">
        <v>86</v>
      </c>
      <c r="E69" s="6"/>
      <c r="G69" s="6" t="s">
        <v>1270</v>
      </c>
      <c r="H69" s="7">
        <v>93</v>
      </c>
    </row>
    <row r="70" spans="2:8" x14ac:dyDescent="0.3">
      <c r="B70" s="6" t="s">
        <v>97</v>
      </c>
      <c r="C70" s="7">
        <v>76</v>
      </c>
      <c r="E70" s="6"/>
      <c r="G70" s="6" t="s">
        <v>1269</v>
      </c>
      <c r="H70" s="7">
        <v>14</v>
      </c>
    </row>
    <row r="71" spans="2:8" x14ac:dyDescent="0.3">
      <c r="B71" s="6" t="s">
        <v>1340</v>
      </c>
      <c r="C71" s="7">
        <v>47</v>
      </c>
      <c r="E71" s="6"/>
      <c r="G71" s="6" t="s">
        <v>1268</v>
      </c>
      <c r="H71" s="7">
        <v>1</v>
      </c>
    </row>
    <row r="72" spans="2:8" x14ac:dyDescent="0.3">
      <c r="B72" s="6" t="s">
        <v>1339</v>
      </c>
      <c r="C72" s="7">
        <v>44</v>
      </c>
      <c r="E72" s="6"/>
      <c r="G72" s="6" t="s">
        <v>1267</v>
      </c>
      <c r="H72" s="7">
        <v>67</v>
      </c>
    </row>
    <row r="73" spans="2:8" x14ac:dyDescent="0.3">
      <c r="B73" s="6" t="s">
        <v>1348</v>
      </c>
      <c r="C73" s="7">
        <v>23</v>
      </c>
      <c r="E73" s="6"/>
      <c r="G73" s="6" t="s">
        <v>1266</v>
      </c>
      <c r="H73" s="7">
        <v>341</v>
      </c>
    </row>
    <row r="74" spans="2:8" x14ac:dyDescent="0.3">
      <c r="B74" s="6" t="s">
        <v>1345</v>
      </c>
      <c r="C74" s="7">
        <v>21</v>
      </c>
      <c r="E74" s="6"/>
      <c r="G74" s="6" t="s">
        <v>1265</v>
      </c>
      <c r="H74" s="7">
        <v>27</v>
      </c>
    </row>
    <row r="75" spans="2:8" x14ac:dyDescent="0.3">
      <c r="B75" s="6" t="s">
        <v>1350</v>
      </c>
      <c r="C75" s="7">
        <v>18</v>
      </c>
      <c r="E75" s="6"/>
      <c r="G75" s="6" t="s">
        <v>1264</v>
      </c>
      <c r="H75" s="7">
        <v>109</v>
      </c>
    </row>
    <row r="76" spans="2:8" x14ac:dyDescent="0.3">
      <c r="B76" s="6" t="s">
        <v>1344</v>
      </c>
      <c r="C76" s="7">
        <v>17</v>
      </c>
      <c r="E76" s="6"/>
      <c r="G76" s="6" t="s">
        <v>1263</v>
      </c>
      <c r="H76" s="7">
        <v>1</v>
      </c>
    </row>
    <row r="77" spans="2:8" x14ac:dyDescent="0.3">
      <c r="B77" s="6" t="s">
        <v>1335</v>
      </c>
      <c r="C77" s="7">
        <v>12</v>
      </c>
      <c r="E77" s="6"/>
      <c r="G77" s="6" t="s">
        <v>1262</v>
      </c>
      <c r="H77" s="7">
        <v>165</v>
      </c>
    </row>
    <row r="78" spans="2:8" x14ac:dyDescent="0.3">
      <c r="B78" s="6" t="s">
        <v>1332</v>
      </c>
      <c r="C78" s="7">
        <v>9</v>
      </c>
      <c r="E78" s="6"/>
      <c r="F78" s="7"/>
      <c r="G78" s="6" t="s">
        <v>1261</v>
      </c>
      <c r="H78" s="7">
        <v>355</v>
      </c>
    </row>
    <row r="79" spans="2:8" x14ac:dyDescent="0.3">
      <c r="B79" s="6" t="s">
        <v>1346</v>
      </c>
      <c r="C79" s="7">
        <v>6</v>
      </c>
      <c r="E79" s="6"/>
      <c r="F79" s="7"/>
      <c r="G79" s="6" t="s">
        <v>1260</v>
      </c>
      <c r="H79" s="7">
        <v>6</v>
      </c>
    </row>
    <row r="80" spans="2:8" x14ac:dyDescent="0.3">
      <c r="B80" s="6" t="s">
        <v>1331</v>
      </c>
      <c r="C80" s="7">
        <v>3</v>
      </c>
      <c r="E80" s="6"/>
      <c r="G80" s="6" t="s">
        <v>1259</v>
      </c>
      <c r="H80" s="7">
        <v>113</v>
      </c>
    </row>
    <row r="81" spans="1:8" x14ac:dyDescent="0.3">
      <c r="B81" s="6" t="s">
        <v>1349</v>
      </c>
      <c r="C81" s="7">
        <v>2</v>
      </c>
      <c r="E81" s="6"/>
      <c r="F81" s="6"/>
      <c r="G81" s="6" t="s">
        <v>1258</v>
      </c>
      <c r="H81" s="7">
        <v>24</v>
      </c>
    </row>
    <row r="82" spans="1:8" x14ac:dyDescent="0.3">
      <c r="B82" s="6" t="s">
        <v>1343</v>
      </c>
      <c r="C82" s="7">
        <v>1</v>
      </c>
      <c r="E82" s="6"/>
      <c r="F82" s="6"/>
      <c r="G82" s="6" t="s">
        <v>1257</v>
      </c>
      <c r="H82" s="7">
        <v>14410</v>
      </c>
    </row>
    <row r="83" spans="1:8" x14ac:dyDescent="0.3">
      <c r="B83" s="6" t="s">
        <v>1337</v>
      </c>
      <c r="C83" s="7">
        <v>1</v>
      </c>
      <c r="E83" s="6"/>
      <c r="F83" s="6"/>
      <c r="G83" s="6" t="s">
        <v>1256</v>
      </c>
      <c r="H83" s="7">
        <v>107</v>
      </c>
    </row>
    <row r="84" spans="1:8" x14ac:dyDescent="0.3">
      <c r="B84" s="6" t="s">
        <v>1366</v>
      </c>
      <c r="C84" s="7">
        <v>12324</v>
      </c>
      <c r="E84" s="6"/>
      <c r="F84" s="6"/>
      <c r="G84" s="6" t="s">
        <v>1255</v>
      </c>
      <c r="H84" s="7">
        <v>52</v>
      </c>
    </row>
    <row r="85" spans="1:8" x14ac:dyDescent="0.3">
      <c r="B85" s="6"/>
      <c r="C85" s="7"/>
      <c r="E85" s="6"/>
      <c r="F85" s="6"/>
      <c r="G85" s="6" t="s">
        <v>1254</v>
      </c>
      <c r="H85" s="7">
        <v>3168</v>
      </c>
    </row>
    <row r="86" spans="1:8" x14ac:dyDescent="0.3">
      <c r="E86" s="6"/>
      <c r="F86" s="6"/>
      <c r="G86" s="6" t="s">
        <v>1253</v>
      </c>
      <c r="H86" s="7">
        <v>3</v>
      </c>
    </row>
    <row r="87" spans="1:8" x14ac:dyDescent="0.3">
      <c r="E87" s="6"/>
      <c r="G87" s="6" t="s">
        <v>1364</v>
      </c>
      <c r="H87" s="7">
        <v>43</v>
      </c>
    </row>
    <row r="88" spans="1:8" x14ac:dyDescent="0.3">
      <c r="E88" s="6"/>
      <c r="G88" s="6" t="s">
        <v>1252</v>
      </c>
      <c r="H88" s="7">
        <v>922</v>
      </c>
    </row>
    <row r="89" spans="1:8" x14ac:dyDescent="0.3">
      <c r="E89" s="6"/>
      <c r="G89" s="6" t="s">
        <v>1251</v>
      </c>
      <c r="H89" s="7">
        <v>5</v>
      </c>
    </row>
    <row r="90" spans="1:8" x14ac:dyDescent="0.3">
      <c r="A90" t="s">
        <v>1383</v>
      </c>
      <c r="E90" s="6"/>
      <c r="G90" s="6" t="s">
        <v>1250</v>
      </c>
      <c r="H90" s="7">
        <v>32</v>
      </c>
    </row>
    <row r="91" spans="1:8" x14ac:dyDescent="0.3">
      <c r="E91" s="6"/>
      <c r="G91" s="6" t="s">
        <v>1249</v>
      </c>
      <c r="H91" s="7">
        <v>77</v>
      </c>
    </row>
    <row r="92" spans="1:8" x14ac:dyDescent="0.3">
      <c r="A92" s="5" t="s">
        <v>1365</v>
      </c>
      <c r="B92" t="s">
        <v>1384</v>
      </c>
      <c r="E92" s="6"/>
      <c r="G92" s="6" t="s">
        <v>1248</v>
      </c>
      <c r="H92" s="7">
        <v>6</v>
      </c>
    </row>
    <row r="93" spans="1:8" x14ac:dyDescent="0.3">
      <c r="A93" s="6" t="s">
        <v>5</v>
      </c>
      <c r="B93" s="7">
        <v>15</v>
      </c>
      <c r="E93" s="6"/>
      <c r="G93" s="6" t="s">
        <v>1247</v>
      </c>
      <c r="H93" s="7">
        <v>7</v>
      </c>
    </row>
    <row r="94" spans="1:8" x14ac:dyDescent="0.3">
      <c r="A94" s="6" t="s">
        <v>15</v>
      </c>
      <c r="B94" s="7">
        <v>11</v>
      </c>
      <c r="E94" s="6"/>
      <c r="G94" s="6" t="s">
        <v>1246</v>
      </c>
      <c r="H94" s="7">
        <v>1</v>
      </c>
    </row>
    <row r="95" spans="1:8" x14ac:dyDescent="0.3">
      <c r="A95" s="6" t="s">
        <v>8</v>
      </c>
      <c r="B95" s="7">
        <v>6</v>
      </c>
      <c r="E95" s="6"/>
      <c r="G95" s="6" t="s">
        <v>1245</v>
      </c>
      <c r="H95" s="7">
        <v>18</v>
      </c>
    </row>
    <row r="96" spans="1:8" x14ac:dyDescent="0.3">
      <c r="A96" s="6" t="s">
        <v>27</v>
      </c>
      <c r="B96" s="7">
        <v>6</v>
      </c>
      <c r="G96" s="6" t="s">
        <v>1244</v>
      </c>
      <c r="H96" s="7">
        <v>378</v>
      </c>
    </row>
    <row r="97" spans="1:8" x14ac:dyDescent="0.3">
      <c r="A97" s="6" t="s">
        <v>23</v>
      </c>
      <c r="B97" s="7">
        <v>5</v>
      </c>
      <c r="G97" s="6" t="s">
        <v>1243</v>
      </c>
      <c r="H97" s="7">
        <v>115</v>
      </c>
    </row>
    <row r="98" spans="1:8" x14ac:dyDescent="0.3">
      <c r="A98" s="6" t="s">
        <v>32</v>
      </c>
      <c r="B98" s="7">
        <v>4</v>
      </c>
      <c r="G98" s="6" t="s">
        <v>1242</v>
      </c>
      <c r="H98" s="7">
        <v>330</v>
      </c>
    </row>
    <row r="99" spans="1:8" x14ac:dyDescent="0.3">
      <c r="A99" s="6" t="s">
        <v>12</v>
      </c>
      <c r="B99" s="7">
        <v>4</v>
      </c>
      <c r="G99" s="6" t="s">
        <v>1241</v>
      </c>
      <c r="H99" s="7">
        <v>1</v>
      </c>
    </row>
    <row r="100" spans="1:8" x14ac:dyDescent="0.3">
      <c r="A100" s="6" t="s">
        <v>44</v>
      </c>
      <c r="B100" s="7">
        <v>3</v>
      </c>
      <c r="G100" s="6" t="s">
        <v>1240</v>
      </c>
      <c r="H100" s="7">
        <v>147</v>
      </c>
    </row>
    <row r="101" spans="1:8" x14ac:dyDescent="0.3">
      <c r="A101" s="6" t="s">
        <v>51</v>
      </c>
      <c r="B101" s="7">
        <v>3</v>
      </c>
      <c r="G101" s="6" t="s">
        <v>1239</v>
      </c>
      <c r="H101" s="7">
        <v>11</v>
      </c>
    </row>
    <row r="102" spans="1:8" x14ac:dyDescent="0.3">
      <c r="A102" s="6" t="s">
        <v>97</v>
      </c>
      <c r="B102" s="7">
        <v>2</v>
      </c>
      <c r="G102" s="6" t="s">
        <v>1238</v>
      </c>
      <c r="H102" s="7">
        <v>2403</v>
      </c>
    </row>
    <row r="103" spans="1:8" x14ac:dyDescent="0.3">
      <c r="A103" s="6" t="s">
        <v>81</v>
      </c>
      <c r="B103" s="7">
        <v>1</v>
      </c>
      <c r="G103" s="6" t="s">
        <v>1237</v>
      </c>
      <c r="H103" s="7">
        <v>33</v>
      </c>
    </row>
    <row r="104" spans="1:8" x14ac:dyDescent="0.3">
      <c r="A104" s="6" t="s">
        <v>68</v>
      </c>
      <c r="B104" s="7">
        <v>1</v>
      </c>
      <c r="G104" s="6" t="s">
        <v>1236</v>
      </c>
      <c r="H104" s="7">
        <v>638</v>
      </c>
    </row>
    <row r="105" spans="1:8" x14ac:dyDescent="0.3">
      <c r="A105" s="6" t="s">
        <v>65</v>
      </c>
      <c r="B105" s="7">
        <v>1</v>
      </c>
      <c r="G105" s="6" t="s">
        <v>1235</v>
      </c>
      <c r="H105" s="7">
        <v>9279</v>
      </c>
    </row>
    <row r="106" spans="1:8" x14ac:dyDescent="0.3">
      <c r="A106" s="6" t="s">
        <v>1366</v>
      </c>
      <c r="B106" s="7">
        <v>62</v>
      </c>
      <c r="G106" s="6" t="s">
        <v>1234</v>
      </c>
      <c r="H106" s="7">
        <v>1</v>
      </c>
    </row>
    <row r="107" spans="1:8" x14ac:dyDescent="0.3">
      <c r="G107" s="6" t="s">
        <v>1233</v>
      </c>
      <c r="H107" s="7">
        <v>622</v>
      </c>
    </row>
    <row r="108" spans="1:8" x14ac:dyDescent="0.3">
      <c r="G108" s="6" t="s">
        <v>1232</v>
      </c>
      <c r="H108" s="7">
        <v>15735</v>
      </c>
    </row>
    <row r="109" spans="1:8" x14ac:dyDescent="0.3">
      <c r="G109" s="6" t="s">
        <v>1231</v>
      </c>
      <c r="H109" s="7">
        <v>173</v>
      </c>
    </row>
    <row r="110" spans="1:8" x14ac:dyDescent="0.3">
      <c r="C110" s="7"/>
      <c r="G110" s="6" t="s">
        <v>1230</v>
      </c>
      <c r="H110" s="7">
        <v>137</v>
      </c>
    </row>
    <row r="111" spans="1:8" x14ac:dyDescent="0.3">
      <c r="C111" s="7"/>
      <c r="G111" s="6" t="s">
        <v>1229</v>
      </c>
      <c r="H111" s="7">
        <v>1</v>
      </c>
    </row>
    <row r="112" spans="1:8" x14ac:dyDescent="0.3">
      <c r="C112" s="7"/>
      <c r="G112" s="6" t="s">
        <v>1228</v>
      </c>
      <c r="H112" s="7">
        <v>48</v>
      </c>
    </row>
    <row r="113" spans="3:8" x14ac:dyDescent="0.3">
      <c r="C113" s="7"/>
      <c r="G113" s="6" t="s">
        <v>1227</v>
      </c>
      <c r="H113" s="7">
        <v>89</v>
      </c>
    </row>
    <row r="114" spans="3:8" x14ac:dyDescent="0.3">
      <c r="C114" s="7"/>
      <c r="G114" s="6" t="s">
        <v>1226</v>
      </c>
      <c r="H114" s="7">
        <v>2635</v>
      </c>
    </row>
    <row r="115" spans="3:8" x14ac:dyDescent="0.3">
      <c r="C115" s="7"/>
      <c r="G115" s="6" t="s">
        <v>1225</v>
      </c>
      <c r="H115" s="7">
        <v>5</v>
      </c>
    </row>
    <row r="116" spans="3:8" x14ac:dyDescent="0.3">
      <c r="C116" s="7"/>
      <c r="G116" s="6" t="s">
        <v>1224</v>
      </c>
      <c r="H116" s="7">
        <v>27</v>
      </c>
    </row>
    <row r="117" spans="3:8" x14ac:dyDescent="0.3">
      <c r="C117" s="7"/>
      <c r="G117" s="6" t="s">
        <v>1223</v>
      </c>
      <c r="H117" s="7">
        <v>9</v>
      </c>
    </row>
    <row r="118" spans="3:8" x14ac:dyDescent="0.3">
      <c r="C118" s="7"/>
      <c r="G118" s="6" t="s">
        <v>1222</v>
      </c>
      <c r="H118" s="7">
        <v>455</v>
      </c>
    </row>
    <row r="119" spans="3:8" x14ac:dyDescent="0.3">
      <c r="C119" s="7"/>
      <c r="G119" s="6" t="s">
        <v>1221</v>
      </c>
      <c r="H119" s="7">
        <v>22</v>
      </c>
    </row>
    <row r="120" spans="3:8" x14ac:dyDescent="0.3">
      <c r="C120" s="7"/>
      <c r="G120" s="6" t="s">
        <v>1220</v>
      </c>
      <c r="H120" s="7">
        <v>64</v>
      </c>
    </row>
    <row r="121" spans="3:8" x14ac:dyDescent="0.3">
      <c r="C121" s="7"/>
      <c r="G121" s="6" t="s">
        <v>1219</v>
      </c>
      <c r="H121" s="7">
        <v>4</v>
      </c>
    </row>
    <row r="122" spans="3:8" x14ac:dyDescent="0.3">
      <c r="C122" s="7"/>
      <c r="G122" s="6" t="s">
        <v>1218</v>
      </c>
      <c r="H122" s="7">
        <v>6</v>
      </c>
    </row>
    <row r="123" spans="3:8" x14ac:dyDescent="0.3">
      <c r="C123" s="7"/>
      <c r="G123" s="6" t="s">
        <v>1217</v>
      </c>
      <c r="H123" s="7">
        <v>30809</v>
      </c>
    </row>
    <row r="124" spans="3:8" x14ac:dyDescent="0.3">
      <c r="C124" s="7"/>
      <c r="G124" s="6" t="s">
        <v>1216</v>
      </c>
      <c r="H124" s="7">
        <v>141</v>
      </c>
    </row>
    <row r="125" spans="3:8" x14ac:dyDescent="0.3">
      <c r="C125" s="7"/>
      <c r="G125" s="6" t="s">
        <v>1215</v>
      </c>
      <c r="H125" s="7">
        <v>556</v>
      </c>
    </row>
    <row r="126" spans="3:8" x14ac:dyDescent="0.3">
      <c r="C126" s="7"/>
      <c r="G126" s="6" t="s">
        <v>1214</v>
      </c>
      <c r="H126" s="7">
        <v>4</v>
      </c>
    </row>
    <row r="127" spans="3:8" x14ac:dyDescent="0.3">
      <c r="C127" s="7"/>
      <c r="G127" s="6" t="s">
        <v>1213</v>
      </c>
      <c r="H127" s="7">
        <v>714</v>
      </c>
    </row>
    <row r="128" spans="3:8" x14ac:dyDescent="0.3">
      <c r="C128" s="7"/>
      <c r="G128" s="6" t="s">
        <v>1212</v>
      </c>
      <c r="H128" s="7">
        <v>36</v>
      </c>
    </row>
    <row r="129" spans="3:8" x14ac:dyDescent="0.3">
      <c r="C129" s="7"/>
      <c r="G129" s="6" t="s">
        <v>1211</v>
      </c>
      <c r="H129" s="7">
        <v>17</v>
      </c>
    </row>
    <row r="130" spans="3:8" x14ac:dyDescent="0.3">
      <c r="C130" s="7"/>
      <c r="G130" s="6" t="s">
        <v>1210</v>
      </c>
      <c r="H130" s="7">
        <v>719</v>
      </c>
    </row>
    <row r="131" spans="3:8" x14ac:dyDescent="0.3">
      <c r="C131" s="7"/>
      <c r="G131" s="6" t="s">
        <v>1209</v>
      </c>
      <c r="H131" s="7">
        <v>3</v>
      </c>
    </row>
    <row r="132" spans="3:8" x14ac:dyDescent="0.3">
      <c r="C132" s="7"/>
      <c r="G132" s="6" t="s">
        <v>1208</v>
      </c>
      <c r="H132" s="7">
        <v>2791</v>
      </c>
    </row>
    <row r="133" spans="3:8" x14ac:dyDescent="0.3">
      <c r="C133" s="7"/>
      <c r="G133" s="6" t="s">
        <v>1207</v>
      </c>
      <c r="H133" s="7">
        <v>1</v>
      </c>
    </row>
    <row r="134" spans="3:8" x14ac:dyDescent="0.3">
      <c r="C134" s="7"/>
      <c r="G134" s="6" t="s">
        <v>1206</v>
      </c>
      <c r="H134" s="7">
        <v>41615</v>
      </c>
    </row>
    <row r="135" spans="3:8" x14ac:dyDescent="0.3">
      <c r="C135" s="7"/>
      <c r="G135" s="6" t="s">
        <v>1205</v>
      </c>
      <c r="H135" s="7">
        <v>8834</v>
      </c>
    </row>
    <row r="136" spans="3:8" x14ac:dyDescent="0.3">
      <c r="C136" s="7"/>
      <c r="G136" s="6" t="s">
        <v>1204</v>
      </c>
      <c r="H136" s="7">
        <v>900</v>
      </c>
    </row>
    <row r="137" spans="3:8" x14ac:dyDescent="0.3">
      <c r="C137" s="7"/>
      <c r="G137" s="6" t="s">
        <v>1203</v>
      </c>
      <c r="H137" s="7">
        <v>7</v>
      </c>
    </row>
    <row r="138" spans="3:8" x14ac:dyDescent="0.3">
      <c r="C138" s="7"/>
      <c r="G138" s="6" t="s">
        <v>1202</v>
      </c>
      <c r="H138" s="7">
        <v>13</v>
      </c>
    </row>
    <row r="139" spans="3:8" x14ac:dyDescent="0.3">
      <c r="C139" s="7"/>
      <c r="G139" s="6" t="s">
        <v>1201</v>
      </c>
      <c r="H139" s="7">
        <v>761</v>
      </c>
    </row>
    <row r="140" spans="3:8" x14ac:dyDescent="0.3">
      <c r="C140" s="7"/>
      <c r="G140" s="6" t="s">
        <v>1200</v>
      </c>
      <c r="H140" s="7">
        <v>8</v>
      </c>
    </row>
    <row r="141" spans="3:8" x14ac:dyDescent="0.3">
      <c r="C141" s="7"/>
      <c r="G141" s="6" t="s">
        <v>1199</v>
      </c>
      <c r="H141" s="7">
        <v>417</v>
      </c>
    </row>
    <row r="142" spans="3:8" x14ac:dyDescent="0.3">
      <c r="C142" s="7"/>
      <c r="G142" s="6" t="s">
        <v>1198</v>
      </c>
      <c r="H142" s="7">
        <v>325</v>
      </c>
    </row>
    <row r="143" spans="3:8" x14ac:dyDescent="0.3">
      <c r="C143" s="7"/>
      <c r="G143" s="6" t="s">
        <v>1197</v>
      </c>
      <c r="H143" s="7">
        <v>9309</v>
      </c>
    </row>
    <row r="144" spans="3:8" x14ac:dyDescent="0.3">
      <c r="C144" s="7"/>
      <c r="G144" s="6" t="s">
        <v>1196</v>
      </c>
      <c r="H144" s="7">
        <v>95</v>
      </c>
    </row>
    <row r="145" spans="2:8" x14ac:dyDescent="0.3">
      <c r="C145" s="7"/>
      <c r="G145" s="6" t="s">
        <v>1195</v>
      </c>
      <c r="H145" s="7">
        <v>390</v>
      </c>
    </row>
    <row r="146" spans="2:8" x14ac:dyDescent="0.3">
      <c r="C146" s="7"/>
      <c r="G146" s="6" t="s">
        <v>1194</v>
      </c>
      <c r="H146" s="7">
        <v>104</v>
      </c>
    </row>
    <row r="147" spans="2:8" x14ac:dyDescent="0.3">
      <c r="C147" s="7"/>
      <c r="G147" s="6" t="s">
        <v>1193</v>
      </c>
      <c r="H147" s="7">
        <v>10431</v>
      </c>
    </row>
    <row r="148" spans="2:8" x14ac:dyDescent="0.3">
      <c r="C148" s="7"/>
      <c r="G148" s="6" t="s">
        <v>1192</v>
      </c>
      <c r="H148" s="7">
        <v>4360</v>
      </c>
    </row>
    <row r="149" spans="2:8" x14ac:dyDescent="0.3">
      <c r="C149" s="7"/>
      <c r="G149" s="6" t="s">
        <v>1191</v>
      </c>
      <c r="H149" s="7">
        <v>52</v>
      </c>
    </row>
    <row r="150" spans="2:8" x14ac:dyDescent="0.3">
      <c r="C150" s="7"/>
      <c r="G150" s="6" t="s">
        <v>1190</v>
      </c>
      <c r="H150" s="7">
        <v>318445</v>
      </c>
    </row>
    <row r="151" spans="2:8" x14ac:dyDescent="0.3">
      <c r="C151" s="7"/>
      <c r="G151" s="6" t="s">
        <v>1189</v>
      </c>
      <c r="H151" s="7">
        <v>119</v>
      </c>
    </row>
    <row r="152" spans="2:8" x14ac:dyDescent="0.3">
      <c r="C152" s="7"/>
      <c r="G152" s="6" t="s">
        <v>1188</v>
      </c>
      <c r="H152" s="7">
        <v>2321</v>
      </c>
    </row>
    <row r="153" spans="2:8" x14ac:dyDescent="0.3">
      <c r="C153" s="7"/>
      <c r="G153" s="6" t="s">
        <v>1187</v>
      </c>
      <c r="H153" s="7">
        <v>148</v>
      </c>
    </row>
    <row r="154" spans="2:8" x14ac:dyDescent="0.3">
      <c r="C154" s="7"/>
      <c r="G154" s="6" t="s">
        <v>1186</v>
      </c>
      <c r="H154" s="7">
        <v>655</v>
      </c>
    </row>
    <row r="155" spans="2:8" x14ac:dyDescent="0.3">
      <c r="B155" s="6"/>
      <c r="C155" s="7"/>
      <c r="G155" s="6" t="s">
        <v>1185</v>
      </c>
      <c r="H155" s="7">
        <v>18</v>
      </c>
    </row>
    <row r="156" spans="2:8" x14ac:dyDescent="0.3">
      <c r="G156" s="6" t="s">
        <v>1184</v>
      </c>
      <c r="H156" s="7">
        <v>157</v>
      </c>
    </row>
    <row r="157" spans="2:8" x14ac:dyDescent="0.3">
      <c r="G157" s="6" t="s">
        <v>1183</v>
      </c>
      <c r="H157" s="7">
        <v>3819</v>
      </c>
    </row>
    <row r="158" spans="2:8" x14ac:dyDescent="0.3">
      <c r="G158" s="6" t="s">
        <v>1182</v>
      </c>
      <c r="H158" s="7">
        <v>201</v>
      </c>
    </row>
    <row r="159" spans="2:8" x14ac:dyDescent="0.3">
      <c r="G159" s="6" t="s">
        <v>1181</v>
      </c>
      <c r="H159" s="7">
        <v>9</v>
      </c>
    </row>
    <row r="160" spans="2:8" x14ac:dyDescent="0.3">
      <c r="G160" s="6" t="s">
        <v>1180</v>
      </c>
      <c r="H160" s="7">
        <v>4</v>
      </c>
    </row>
    <row r="161" spans="7:8" x14ac:dyDescent="0.3">
      <c r="G161" s="6" t="s">
        <v>1179</v>
      </c>
      <c r="H161" s="7">
        <v>94</v>
      </c>
    </row>
    <row r="162" spans="7:8" x14ac:dyDescent="0.3">
      <c r="G162" s="6" t="s">
        <v>1178</v>
      </c>
      <c r="H162" s="7">
        <v>2840</v>
      </c>
    </row>
    <row r="163" spans="7:8" x14ac:dyDescent="0.3">
      <c r="G163" s="6" t="s">
        <v>1177</v>
      </c>
      <c r="H163" s="7">
        <v>7840</v>
      </c>
    </row>
    <row r="164" spans="7:8" x14ac:dyDescent="0.3">
      <c r="G164" s="6" t="s">
        <v>1176</v>
      </c>
      <c r="H164" s="7">
        <v>4413</v>
      </c>
    </row>
    <row r="165" spans="7:8" x14ac:dyDescent="0.3">
      <c r="G165" s="6" t="s">
        <v>1175</v>
      </c>
      <c r="H165" s="7">
        <v>32845</v>
      </c>
    </row>
    <row r="166" spans="7:8" x14ac:dyDescent="0.3">
      <c r="G166" s="6" t="s">
        <v>1174</v>
      </c>
      <c r="H166" s="7">
        <v>18</v>
      </c>
    </row>
    <row r="167" spans="7:8" x14ac:dyDescent="0.3">
      <c r="G167" s="6" t="s">
        <v>1173</v>
      </c>
      <c r="H167" s="7">
        <v>226</v>
      </c>
    </row>
    <row r="168" spans="7:8" x14ac:dyDescent="0.3">
      <c r="G168" s="6" t="s">
        <v>1172</v>
      </c>
      <c r="H168" s="7">
        <v>34887</v>
      </c>
    </row>
    <row r="169" spans="7:8" x14ac:dyDescent="0.3">
      <c r="G169" s="6" t="s">
        <v>1171</v>
      </c>
      <c r="H169" s="7">
        <v>22</v>
      </c>
    </row>
    <row r="170" spans="7:8" x14ac:dyDescent="0.3">
      <c r="G170" s="6" t="s">
        <v>1170</v>
      </c>
      <c r="H170" s="7">
        <v>1</v>
      </c>
    </row>
    <row r="171" spans="7:8" x14ac:dyDescent="0.3">
      <c r="G171" s="6" t="s">
        <v>1169</v>
      </c>
      <c r="H171" s="7">
        <v>231</v>
      </c>
    </row>
    <row r="172" spans="7:8" x14ac:dyDescent="0.3">
      <c r="G172" s="6" t="s">
        <v>1168</v>
      </c>
      <c r="H172" s="7">
        <v>885</v>
      </c>
    </row>
    <row r="173" spans="7:8" x14ac:dyDescent="0.3">
      <c r="G173" s="6" t="s">
        <v>1167</v>
      </c>
      <c r="H173" s="7">
        <v>74410</v>
      </c>
    </row>
    <row r="174" spans="7:8" x14ac:dyDescent="0.3">
      <c r="G174" s="6" t="s">
        <v>1166</v>
      </c>
      <c r="H174" s="7">
        <v>52520</v>
      </c>
    </row>
    <row r="175" spans="7:8" x14ac:dyDescent="0.3">
      <c r="G175" s="6" t="s">
        <v>1165</v>
      </c>
      <c r="H175" s="7">
        <v>20504</v>
      </c>
    </row>
    <row r="176" spans="7:8" x14ac:dyDescent="0.3">
      <c r="G176" s="6" t="s">
        <v>1164</v>
      </c>
      <c r="H176" s="7">
        <v>80</v>
      </c>
    </row>
    <row r="177" spans="7:8" x14ac:dyDescent="0.3">
      <c r="G177" s="6" t="s">
        <v>1163</v>
      </c>
      <c r="H177" s="7">
        <v>20</v>
      </c>
    </row>
    <row r="178" spans="7:8" x14ac:dyDescent="0.3">
      <c r="G178" s="6" t="s">
        <v>1162</v>
      </c>
      <c r="H178" s="7">
        <v>1</v>
      </c>
    </row>
    <row r="179" spans="7:8" x14ac:dyDescent="0.3">
      <c r="G179" s="6" t="s">
        <v>1161</v>
      </c>
      <c r="H179" s="7">
        <v>3</v>
      </c>
    </row>
    <row r="180" spans="7:8" x14ac:dyDescent="0.3">
      <c r="G180" s="6" t="s">
        <v>1160</v>
      </c>
      <c r="H180" s="7">
        <v>6667</v>
      </c>
    </row>
    <row r="181" spans="7:8" x14ac:dyDescent="0.3">
      <c r="G181" s="6" t="s">
        <v>1159</v>
      </c>
      <c r="H181" s="7">
        <v>437</v>
      </c>
    </row>
    <row r="182" spans="7:8" x14ac:dyDescent="0.3">
      <c r="G182" s="6" t="s">
        <v>1158</v>
      </c>
      <c r="H182" s="7">
        <v>85</v>
      </c>
    </row>
    <row r="183" spans="7:8" x14ac:dyDescent="0.3">
      <c r="G183" s="6" t="s">
        <v>1157</v>
      </c>
      <c r="H183" s="7">
        <v>68</v>
      </c>
    </row>
    <row r="184" spans="7:8" x14ac:dyDescent="0.3">
      <c r="G184" s="6" t="s">
        <v>1156</v>
      </c>
      <c r="H184" s="7">
        <v>31</v>
      </c>
    </row>
    <row r="185" spans="7:8" x14ac:dyDescent="0.3">
      <c r="G185" s="6" t="s">
        <v>1155</v>
      </c>
      <c r="H185" s="7">
        <v>37</v>
      </c>
    </row>
    <row r="186" spans="7:8" x14ac:dyDescent="0.3">
      <c r="G186" s="6" t="s">
        <v>1154</v>
      </c>
      <c r="H186" s="7">
        <v>101</v>
      </c>
    </row>
    <row r="187" spans="7:8" x14ac:dyDescent="0.3">
      <c r="G187" s="6" t="s">
        <v>1153</v>
      </c>
      <c r="H187" s="7">
        <v>74</v>
      </c>
    </row>
    <row r="188" spans="7:8" x14ac:dyDescent="0.3">
      <c r="G188" s="6" t="s">
        <v>1152</v>
      </c>
      <c r="H188" s="7">
        <v>3</v>
      </c>
    </row>
    <row r="189" spans="7:8" x14ac:dyDescent="0.3">
      <c r="G189" s="6" t="s">
        <v>1151</v>
      </c>
      <c r="H189" s="7">
        <v>29</v>
      </c>
    </row>
    <row r="190" spans="7:8" x14ac:dyDescent="0.3">
      <c r="G190" s="6" t="s">
        <v>1150</v>
      </c>
      <c r="H190" s="7">
        <v>9</v>
      </c>
    </row>
    <row r="191" spans="7:8" x14ac:dyDescent="0.3">
      <c r="G191" s="6" t="s">
        <v>1149</v>
      </c>
      <c r="H191" s="7">
        <v>961</v>
      </c>
    </row>
    <row r="192" spans="7:8" x14ac:dyDescent="0.3">
      <c r="G192" s="6" t="s">
        <v>1148</v>
      </c>
      <c r="H192" s="7">
        <v>50</v>
      </c>
    </row>
    <row r="193" spans="7:8" x14ac:dyDescent="0.3">
      <c r="G193" s="6" t="s">
        <v>1147</v>
      </c>
      <c r="H193" s="7">
        <v>5117</v>
      </c>
    </row>
    <row r="194" spans="7:8" x14ac:dyDescent="0.3">
      <c r="G194" s="6" t="s">
        <v>1146</v>
      </c>
      <c r="H194" s="7">
        <v>56</v>
      </c>
    </row>
    <row r="195" spans="7:8" x14ac:dyDescent="0.3">
      <c r="G195" s="6" t="s">
        <v>1145</v>
      </c>
      <c r="H195" s="7">
        <v>2202</v>
      </c>
    </row>
    <row r="196" spans="7:8" x14ac:dyDescent="0.3">
      <c r="G196" s="6" t="s">
        <v>1144</v>
      </c>
      <c r="H196" s="7">
        <v>109</v>
      </c>
    </row>
    <row r="197" spans="7:8" x14ac:dyDescent="0.3">
      <c r="G197" s="6" t="s">
        <v>1143</v>
      </c>
      <c r="H197" s="7">
        <v>2837</v>
      </c>
    </row>
    <row r="198" spans="7:8" x14ac:dyDescent="0.3">
      <c r="G198" s="6" t="s">
        <v>1142</v>
      </c>
      <c r="H198" s="7">
        <v>313</v>
      </c>
    </row>
    <row r="199" spans="7:8" x14ac:dyDescent="0.3">
      <c r="G199" s="6" t="s">
        <v>1141</v>
      </c>
      <c r="H199" s="7">
        <v>26</v>
      </c>
    </row>
    <row r="200" spans="7:8" x14ac:dyDescent="0.3">
      <c r="G200" s="6" t="s">
        <v>1140</v>
      </c>
      <c r="H200" s="7">
        <v>1</v>
      </c>
    </row>
    <row r="201" spans="7:8" x14ac:dyDescent="0.3">
      <c r="G201" s="6" t="s">
        <v>1139</v>
      </c>
      <c r="H201" s="7">
        <v>6</v>
      </c>
    </row>
    <row r="202" spans="7:8" x14ac:dyDescent="0.3">
      <c r="G202" s="6" t="s">
        <v>1138</v>
      </c>
      <c r="H202" s="7">
        <v>67</v>
      </c>
    </row>
    <row r="203" spans="7:8" x14ac:dyDescent="0.3">
      <c r="G203" s="6" t="s">
        <v>1137</v>
      </c>
      <c r="H203" s="7">
        <v>123</v>
      </c>
    </row>
    <row r="204" spans="7:8" x14ac:dyDescent="0.3">
      <c r="G204" s="6" t="s">
        <v>1136</v>
      </c>
      <c r="H204" s="7">
        <v>2</v>
      </c>
    </row>
    <row r="205" spans="7:8" x14ac:dyDescent="0.3">
      <c r="G205" s="6" t="s">
        <v>1135</v>
      </c>
      <c r="H205" s="7">
        <v>6</v>
      </c>
    </row>
    <row r="206" spans="7:8" x14ac:dyDescent="0.3">
      <c r="G206" s="6" t="s">
        <v>1134</v>
      </c>
      <c r="H206" s="7">
        <v>15</v>
      </c>
    </row>
    <row r="207" spans="7:8" x14ac:dyDescent="0.3">
      <c r="G207" s="6" t="s">
        <v>1133</v>
      </c>
      <c r="H207" s="7">
        <v>207</v>
      </c>
    </row>
    <row r="208" spans="7:8" x14ac:dyDescent="0.3">
      <c r="G208" s="6" t="s">
        <v>1132</v>
      </c>
      <c r="H208" s="7">
        <v>2</v>
      </c>
    </row>
    <row r="209" spans="7:8" x14ac:dyDescent="0.3">
      <c r="G209" s="6" t="s">
        <v>1131</v>
      </c>
      <c r="H209" s="7">
        <v>1370</v>
      </c>
    </row>
    <row r="210" spans="7:8" x14ac:dyDescent="0.3">
      <c r="G210" s="6" t="s">
        <v>1130</v>
      </c>
      <c r="H210" s="7">
        <v>1</v>
      </c>
    </row>
    <row r="211" spans="7:8" x14ac:dyDescent="0.3">
      <c r="G211" s="6" t="s">
        <v>1129</v>
      </c>
      <c r="H211" s="7">
        <v>34</v>
      </c>
    </row>
    <row r="212" spans="7:8" x14ac:dyDescent="0.3">
      <c r="G212" s="6" t="s">
        <v>1128</v>
      </c>
      <c r="H212" s="7">
        <v>409</v>
      </c>
    </row>
    <row r="213" spans="7:8" x14ac:dyDescent="0.3">
      <c r="G213" s="6" t="s">
        <v>1127</v>
      </c>
      <c r="H213" s="7">
        <v>53</v>
      </c>
    </row>
    <row r="214" spans="7:8" x14ac:dyDescent="0.3">
      <c r="G214" s="6" t="s">
        <v>1126</v>
      </c>
      <c r="H214" s="7">
        <v>47</v>
      </c>
    </row>
    <row r="215" spans="7:8" x14ac:dyDescent="0.3">
      <c r="G215" s="6" t="s">
        <v>1125</v>
      </c>
      <c r="H215" s="7">
        <v>1189</v>
      </c>
    </row>
    <row r="216" spans="7:8" x14ac:dyDescent="0.3">
      <c r="G216" s="6" t="s">
        <v>1124</v>
      </c>
      <c r="H216" s="7">
        <v>6664</v>
      </c>
    </row>
    <row r="217" spans="7:8" x14ac:dyDescent="0.3">
      <c r="G217" s="6" t="s">
        <v>1123</v>
      </c>
      <c r="H217" s="7">
        <v>3</v>
      </c>
    </row>
    <row r="218" spans="7:8" x14ac:dyDescent="0.3">
      <c r="G218" s="6" t="s">
        <v>1122</v>
      </c>
      <c r="H218" s="7">
        <v>3</v>
      </c>
    </row>
    <row r="219" spans="7:8" x14ac:dyDescent="0.3">
      <c r="G219" s="6" t="s">
        <v>1121</v>
      </c>
      <c r="H219" s="7">
        <v>1727</v>
      </c>
    </row>
    <row r="220" spans="7:8" x14ac:dyDescent="0.3">
      <c r="G220" s="6" t="s">
        <v>1120</v>
      </c>
      <c r="H220" s="7">
        <v>6530</v>
      </c>
    </row>
    <row r="221" spans="7:8" x14ac:dyDescent="0.3">
      <c r="G221" s="6" t="s">
        <v>1119</v>
      </c>
      <c r="H221" s="7">
        <v>161</v>
      </c>
    </row>
    <row r="222" spans="7:8" x14ac:dyDescent="0.3">
      <c r="G222" s="6" t="s">
        <v>1118</v>
      </c>
      <c r="H222" s="7">
        <v>1</v>
      </c>
    </row>
    <row r="223" spans="7:8" x14ac:dyDescent="0.3">
      <c r="G223" s="6" t="s">
        <v>1117</v>
      </c>
      <c r="H223" s="7">
        <v>1</v>
      </c>
    </row>
    <row r="224" spans="7:8" x14ac:dyDescent="0.3">
      <c r="G224" s="6" t="s">
        <v>1116</v>
      </c>
      <c r="H224" s="7">
        <v>5045</v>
      </c>
    </row>
    <row r="225" spans="7:8" x14ac:dyDescent="0.3">
      <c r="G225" s="6" t="s">
        <v>1115</v>
      </c>
      <c r="H225" s="7">
        <v>922</v>
      </c>
    </row>
    <row r="226" spans="7:8" x14ac:dyDescent="0.3">
      <c r="G226" s="6" t="s">
        <v>1114</v>
      </c>
      <c r="H226" s="7">
        <v>15773</v>
      </c>
    </row>
    <row r="227" spans="7:8" x14ac:dyDescent="0.3">
      <c r="G227" s="6" t="s">
        <v>1113</v>
      </c>
      <c r="H227" s="7">
        <v>25</v>
      </c>
    </row>
    <row r="228" spans="7:8" x14ac:dyDescent="0.3">
      <c r="G228" s="6" t="s">
        <v>1112</v>
      </c>
      <c r="H228" s="7">
        <v>190</v>
      </c>
    </row>
    <row r="229" spans="7:8" x14ac:dyDescent="0.3">
      <c r="G229" s="6" t="s">
        <v>1111</v>
      </c>
      <c r="H229" s="7">
        <v>115</v>
      </c>
    </row>
    <row r="230" spans="7:8" x14ac:dyDescent="0.3">
      <c r="G230" s="6" t="s">
        <v>1110</v>
      </c>
      <c r="H230" s="7">
        <v>447</v>
      </c>
    </row>
    <row r="231" spans="7:8" x14ac:dyDescent="0.3">
      <c r="G231" s="6" t="s">
        <v>1109</v>
      </c>
      <c r="H231" s="7">
        <v>1225</v>
      </c>
    </row>
    <row r="232" spans="7:8" x14ac:dyDescent="0.3">
      <c r="G232" s="6" t="s">
        <v>1108</v>
      </c>
      <c r="H232" s="7">
        <v>364</v>
      </c>
    </row>
    <row r="233" spans="7:8" x14ac:dyDescent="0.3">
      <c r="G233" s="6" t="s">
        <v>1107</v>
      </c>
      <c r="H233" s="7">
        <v>708</v>
      </c>
    </row>
    <row r="234" spans="7:8" x14ac:dyDescent="0.3">
      <c r="G234" s="6" t="s">
        <v>1106</v>
      </c>
      <c r="H234" s="7">
        <v>23</v>
      </c>
    </row>
    <row r="235" spans="7:8" x14ac:dyDescent="0.3">
      <c r="G235" s="6" t="s">
        <v>1105</v>
      </c>
      <c r="H235" s="7">
        <v>4</v>
      </c>
    </row>
    <row r="236" spans="7:8" x14ac:dyDescent="0.3">
      <c r="G236" s="6" t="s">
        <v>1104</v>
      </c>
      <c r="H236" s="7">
        <v>2</v>
      </c>
    </row>
    <row r="237" spans="7:8" x14ac:dyDescent="0.3">
      <c r="G237" s="6" t="s">
        <v>1103</v>
      </c>
      <c r="H237" s="7">
        <v>260</v>
      </c>
    </row>
    <row r="238" spans="7:8" x14ac:dyDescent="0.3">
      <c r="G238" s="6" t="s">
        <v>1102</v>
      </c>
      <c r="H238" s="7">
        <v>17</v>
      </c>
    </row>
    <row r="239" spans="7:8" x14ac:dyDescent="0.3">
      <c r="G239" s="6" t="s">
        <v>1101</v>
      </c>
      <c r="H239" s="7">
        <v>144</v>
      </c>
    </row>
    <row r="240" spans="7:8" x14ac:dyDescent="0.3">
      <c r="G240" s="6" t="s">
        <v>1100</v>
      </c>
      <c r="H240" s="7">
        <v>2434</v>
      </c>
    </row>
    <row r="241" spans="7:8" x14ac:dyDescent="0.3">
      <c r="G241" s="6" t="s">
        <v>1099</v>
      </c>
      <c r="H241" s="7">
        <v>27494</v>
      </c>
    </row>
    <row r="242" spans="7:8" x14ac:dyDescent="0.3">
      <c r="G242" s="6" t="s">
        <v>1098</v>
      </c>
      <c r="H242" s="7">
        <v>27</v>
      </c>
    </row>
    <row r="243" spans="7:8" x14ac:dyDescent="0.3">
      <c r="G243" s="6" t="s">
        <v>1097</v>
      </c>
      <c r="H243" s="7">
        <v>120</v>
      </c>
    </row>
    <row r="244" spans="7:8" x14ac:dyDescent="0.3">
      <c r="G244" s="6" t="s">
        <v>1096</v>
      </c>
      <c r="H244" s="7">
        <v>1047</v>
      </c>
    </row>
    <row r="245" spans="7:8" x14ac:dyDescent="0.3">
      <c r="G245" s="6" t="s">
        <v>1095</v>
      </c>
      <c r="H245" s="7">
        <v>1</v>
      </c>
    </row>
    <row r="246" spans="7:8" x14ac:dyDescent="0.3">
      <c r="G246" s="6" t="s">
        <v>1094</v>
      </c>
      <c r="H246" s="7">
        <v>1</v>
      </c>
    </row>
    <row r="247" spans="7:8" x14ac:dyDescent="0.3">
      <c r="G247" s="6" t="s">
        <v>1093</v>
      </c>
      <c r="H247" s="7">
        <v>23</v>
      </c>
    </row>
    <row r="248" spans="7:8" x14ac:dyDescent="0.3">
      <c r="G248" s="6" t="s">
        <v>1092</v>
      </c>
      <c r="H248" s="7">
        <v>222</v>
      </c>
    </row>
    <row r="249" spans="7:8" x14ac:dyDescent="0.3">
      <c r="G249" s="6" t="s">
        <v>1091</v>
      </c>
      <c r="H249" s="7">
        <v>518</v>
      </c>
    </row>
    <row r="250" spans="7:8" x14ac:dyDescent="0.3">
      <c r="G250" s="6" t="s">
        <v>1090</v>
      </c>
      <c r="H250" s="7">
        <v>681</v>
      </c>
    </row>
    <row r="251" spans="7:8" x14ac:dyDescent="0.3">
      <c r="G251" s="6" t="s">
        <v>1089</v>
      </c>
      <c r="H251" s="7">
        <v>1</v>
      </c>
    </row>
    <row r="252" spans="7:8" x14ac:dyDescent="0.3">
      <c r="G252" s="6" t="s">
        <v>1088</v>
      </c>
      <c r="H252" s="7">
        <v>633</v>
      </c>
    </row>
    <row r="253" spans="7:8" x14ac:dyDescent="0.3">
      <c r="G253" s="6" t="s">
        <v>1087</v>
      </c>
      <c r="H253" s="7">
        <v>2</v>
      </c>
    </row>
    <row r="254" spans="7:8" x14ac:dyDescent="0.3">
      <c r="G254" s="6" t="s">
        <v>1086</v>
      </c>
      <c r="H254" s="7">
        <v>62</v>
      </c>
    </row>
    <row r="255" spans="7:8" x14ac:dyDescent="0.3">
      <c r="G255" s="6" t="s">
        <v>1085</v>
      </c>
      <c r="H255" s="7">
        <v>19</v>
      </c>
    </row>
    <row r="256" spans="7:8" x14ac:dyDescent="0.3">
      <c r="G256" s="6" t="s">
        <v>1084</v>
      </c>
      <c r="H256" s="7">
        <v>10</v>
      </c>
    </row>
    <row r="257" spans="7:8" x14ac:dyDescent="0.3">
      <c r="G257" s="6" t="s">
        <v>1083</v>
      </c>
      <c r="H257" s="7">
        <v>7502</v>
      </c>
    </row>
    <row r="258" spans="7:8" x14ac:dyDescent="0.3">
      <c r="G258" s="6" t="s">
        <v>1082</v>
      </c>
      <c r="H258" s="7">
        <v>2</v>
      </c>
    </row>
    <row r="259" spans="7:8" x14ac:dyDescent="0.3">
      <c r="G259" s="6" t="s">
        <v>1081</v>
      </c>
      <c r="H259" s="7">
        <v>4</v>
      </c>
    </row>
    <row r="260" spans="7:8" x14ac:dyDescent="0.3">
      <c r="G260" s="6" t="s">
        <v>1080</v>
      </c>
      <c r="H260" s="7">
        <v>19</v>
      </c>
    </row>
    <row r="261" spans="7:8" x14ac:dyDescent="0.3">
      <c r="G261" s="6" t="s">
        <v>1079</v>
      </c>
      <c r="H261" s="7">
        <v>3</v>
      </c>
    </row>
    <row r="262" spans="7:8" x14ac:dyDescent="0.3">
      <c r="G262" s="6" t="s">
        <v>1078</v>
      </c>
      <c r="H262" s="7">
        <v>1</v>
      </c>
    </row>
    <row r="263" spans="7:8" x14ac:dyDescent="0.3">
      <c r="G263" s="6" t="s">
        <v>1077</v>
      </c>
      <c r="H263" s="7">
        <v>42</v>
      </c>
    </row>
    <row r="264" spans="7:8" x14ac:dyDescent="0.3">
      <c r="G264" s="6" t="s">
        <v>1076</v>
      </c>
      <c r="H264" s="7">
        <v>664</v>
      </c>
    </row>
    <row r="265" spans="7:8" x14ac:dyDescent="0.3">
      <c r="G265" s="6" t="s">
        <v>1075</v>
      </c>
      <c r="H265" s="7">
        <v>2326</v>
      </c>
    </row>
    <row r="266" spans="7:8" x14ac:dyDescent="0.3">
      <c r="G266" s="6" t="s">
        <v>1074</v>
      </c>
      <c r="H266" s="7">
        <v>2</v>
      </c>
    </row>
    <row r="267" spans="7:8" x14ac:dyDescent="0.3">
      <c r="G267" s="6" t="s">
        <v>1073</v>
      </c>
      <c r="H267" s="7">
        <v>1</v>
      </c>
    </row>
    <row r="268" spans="7:8" x14ac:dyDescent="0.3">
      <c r="G268" s="6" t="s">
        <v>1072</v>
      </c>
      <c r="H268" s="7">
        <v>30</v>
      </c>
    </row>
    <row r="269" spans="7:8" x14ac:dyDescent="0.3">
      <c r="G269" s="6" t="s">
        <v>1071</v>
      </c>
      <c r="H269" s="7">
        <v>2</v>
      </c>
    </row>
    <row r="270" spans="7:8" x14ac:dyDescent="0.3">
      <c r="G270" s="6" t="s">
        <v>1070</v>
      </c>
      <c r="H270" s="7">
        <v>1</v>
      </c>
    </row>
    <row r="271" spans="7:8" x14ac:dyDescent="0.3">
      <c r="G271" s="6" t="s">
        <v>1069</v>
      </c>
      <c r="H271" s="7">
        <v>1</v>
      </c>
    </row>
    <row r="272" spans="7:8" x14ac:dyDescent="0.3">
      <c r="G272" s="6" t="s">
        <v>1068</v>
      </c>
      <c r="H272" s="7">
        <v>1</v>
      </c>
    </row>
    <row r="273" spans="7:8" x14ac:dyDescent="0.3">
      <c r="G273" s="6" t="s">
        <v>1067</v>
      </c>
      <c r="H273" s="7">
        <v>5</v>
      </c>
    </row>
    <row r="274" spans="7:8" x14ac:dyDescent="0.3">
      <c r="G274" s="6" t="s">
        <v>1066</v>
      </c>
      <c r="H274" s="7">
        <v>2</v>
      </c>
    </row>
    <row r="275" spans="7:8" x14ac:dyDescent="0.3">
      <c r="G275" s="6" t="s">
        <v>1065</v>
      </c>
      <c r="H275" s="7">
        <v>3</v>
      </c>
    </row>
    <row r="276" spans="7:8" x14ac:dyDescent="0.3">
      <c r="G276" s="6" t="s">
        <v>1064</v>
      </c>
      <c r="H276" s="7">
        <v>8</v>
      </c>
    </row>
    <row r="277" spans="7:8" x14ac:dyDescent="0.3">
      <c r="G277" s="6" t="s">
        <v>1063</v>
      </c>
      <c r="H277" s="7">
        <v>11364</v>
      </c>
    </row>
    <row r="278" spans="7:8" x14ac:dyDescent="0.3">
      <c r="G278" s="6" t="s">
        <v>1062</v>
      </c>
      <c r="H278" s="7">
        <v>1</v>
      </c>
    </row>
    <row r="279" spans="7:8" x14ac:dyDescent="0.3">
      <c r="G279" s="6" t="s">
        <v>1061</v>
      </c>
      <c r="H279" s="7">
        <v>260</v>
      </c>
    </row>
    <row r="280" spans="7:8" x14ac:dyDescent="0.3">
      <c r="G280" s="6" t="s">
        <v>1060</v>
      </c>
      <c r="H280" s="7">
        <v>1</v>
      </c>
    </row>
    <row r="281" spans="7:8" x14ac:dyDescent="0.3">
      <c r="G281" s="6" t="s">
        <v>1059</v>
      </c>
      <c r="H281" s="7">
        <v>2</v>
      </c>
    </row>
    <row r="282" spans="7:8" x14ac:dyDescent="0.3">
      <c r="G282" s="6" t="s">
        <v>1058</v>
      </c>
      <c r="H282" s="7">
        <v>18</v>
      </c>
    </row>
    <row r="283" spans="7:8" x14ac:dyDescent="0.3">
      <c r="G283" s="6" t="s">
        <v>1057</v>
      </c>
      <c r="H283" s="7">
        <v>97</v>
      </c>
    </row>
    <row r="284" spans="7:8" x14ac:dyDescent="0.3">
      <c r="G284" s="6" t="s">
        <v>1056</v>
      </c>
      <c r="H284" s="7">
        <v>83</v>
      </c>
    </row>
    <row r="285" spans="7:8" x14ac:dyDescent="0.3">
      <c r="G285" s="6" t="s">
        <v>1055</v>
      </c>
      <c r="H285" s="7">
        <v>719</v>
      </c>
    </row>
    <row r="286" spans="7:8" x14ac:dyDescent="0.3">
      <c r="G286" s="6" t="s">
        <v>1054</v>
      </c>
      <c r="H286" s="7">
        <v>35</v>
      </c>
    </row>
    <row r="287" spans="7:8" x14ac:dyDescent="0.3">
      <c r="G287" s="6" t="s">
        <v>1053</v>
      </c>
      <c r="H287" s="7">
        <v>65</v>
      </c>
    </row>
    <row r="288" spans="7:8" x14ac:dyDescent="0.3">
      <c r="G288" s="6" t="s">
        <v>1052</v>
      </c>
      <c r="H288" s="7">
        <v>4</v>
      </c>
    </row>
    <row r="289" spans="7:8" x14ac:dyDescent="0.3">
      <c r="G289" s="6" t="s">
        <v>1051</v>
      </c>
      <c r="H289" s="7">
        <v>1904</v>
      </c>
    </row>
    <row r="290" spans="7:8" x14ac:dyDescent="0.3">
      <c r="G290" s="6" t="s">
        <v>1050</v>
      </c>
      <c r="H290" s="7">
        <v>72</v>
      </c>
    </row>
    <row r="291" spans="7:8" x14ac:dyDescent="0.3">
      <c r="G291" s="6" t="s">
        <v>1049</v>
      </c>
      <c r="H291" s="7">
        <v>283</v>
      </c>
    </row>
    <row r="292" spans="7:8" x14ac:dyDescent="0.3">
      <c r="G292" s="6" t="s">
        <v>1048</v>
      </c>
      <c r="H292" s="7">
        <v>454</v>
      </c>
    </row>
    <row r="293" spans="7:8" x14ac:dyDescent="0.3">
      <c r="G293" s="6" t="s">
        <v>1047</v>
      </c>
      <c r="H293" s="7">
        <v>28</v>
      </c>
    </row>
    <row r="294" spans="7:8" x14ac:dyDescent="0.3">
      <c r="G294" s="6" t="s">
        <v>1046</v>
      </c>
      <c r="H294" s="7">
        <v>4346</v>
      </c>
    </row>
    <row r="295" spans="7:8" x14ac:dyDescent="0.3">
      <c r="G295" s="6" t="s">
        <v>1045</v>
      </c>
      <c r="H295" s="7">
        <v>45</v>
      </c>
    </row>
    <row r="296" spans="7:8" x14ac:dyDescent="0.3">
      <c r="G296" s="6" t="s">
        <v>1044</v>
      </c>
      <c r="H296" s="7">
        <v>1568</v>
      </c>
    </row>
    <row r="297" spans="7:8" x14ac:dyDescent="0.3">
      <c r="G297" s="6" t="s">
        <v>1043</v>
      </c>
      <c r="H297" s="7">
        <v>49</v>
      </c>
    </row>
    <row r="298" spans="7:8" x14ac:dyDescent="0.3">
      <c r="G298" s="6" t="s">
        <v>1042</v>
      </c>
      <c r="H298" s="7">
        <v>1190</v>
      </c>
    </row>
    <row r="299" spans="7:8" x14ac:dyDescent="0.3">
      <c r="G299" s="6" t="s">
        <v>1041</v>
      </c>
      <c r="H299" s="7">
        <v>1</v>
      </c>
    </row>
    <row r="300" spans="7:8" x14ac:dyDescent="0.3">
      <c r="G300" s="6" t="s">
        <v>1040</v>
      </c>
      <c r="H300" s="7">
        <v>2602</v>
      </c>
    </row>
    <row r="301" spans="7:8" x14ac:dyDescent="0.3">
      <c r="G301" s="6" t="s">
        <v>1039</v>
      </c>
      <c r="H301" s="7">
        <v>131</v>
      </c>
    </row>
    <row r="302" spans="7:8" x14ac:dyDescent="0.3">
      <c r="G302" s="6" t="s">
        <v>1038</v>
      </c>
      <c r="H302" s="7">
        <v>1</v>
      </c>
    </row>
    <row r="303" spans="7:8" x14ac:dyDescent="0.3">
      <c r="G303" s="6" t="s">
        <v>1037</v>
      </c>
      <c r="H303" s="7">
        <v>282</v>
      </c>
    </row>
    <row r="304" spans="7:8" x14ac:dyDescent="0.3">
      <c r="G304" s="6" t="s">
        <v>1036</v>
      </c>
      <c r="H304" s="7">
        <v>1</v>
      </c>
    </row>
    <row r="305" spans="7:8" x14ac:dyDescent="0.3">
      <c r="G305" s="6" t="s">
        <v>1035</v>
      </c>
      <c r="H305" s="7">
        <v>79</v>
      </c>
    </row>
    <row r="306" spans="7:8" x14ac:dyDescent="0.3">
      <c r="G306" s="6" t="s">
        <v>1034</v>
      </c>
      <c r="H306" s="7">
        <v>154</v>
      </c>
    </row>
    <row r="307" spans="7:8" x14ac:dyDescent="0.3">
      <c r="G307" s="6" t="s">
        <v>1033</v>
      </c>
      <c r="H307" s="7">
        <v>2312</v>
      </c>
    </row>
    <row r="308" spans="7:8" x14ac:dyDescent="0.3">
      <c r="G308" s="6" t="s">
        <v>1032</v>
      </c>
      <c r="H308" s="7">
        <v>291</v>
      </c>
    </row>
    <row r="309" spans="7:8" x14ac:dyDescent="0.3">
      <c r="G309" s="6" t="s">
        <v>1031</v>
      </c>
      <c r="H309" s="7">
        <v>15</v>
      </c>
    </row>
    <row r="310" spans="7:8" x14ac:dyDescent="0.3">
      <c r="G310" s="6" t="s">
        <v>1030</v>
      </c>
      <c r="H310" s="7">
        <v>134</v>
      </c>
    </row>
    <row r="311" spans="7:8" x14ac:dyDescent="0.3">
      <c r="G311" s="6" t="s">
        <v>1029</v>
      </c>
      <c r="H311" s="7">
        <v>17</v>
      </c>
    </row>
    <row r="312" spans="7:8" x14ac:dyDescent="0.3">
      <c r="G312" s="6" t="s">
        <v>1028</v>
      </c>
      <c r="H312" s="7">
        <v>109</v>
      </c>
    </row>
    <row r="313" spans="7:8" x14ac:dyDescent="0.3">
      <c r="G313" s="6" t="s">
        <v>1027</v>
      </c>
      <c r="H313" s="7">
        <v>21</v>
      </c>
    </row>
    <row r="314" spans="7:8" x14ac:dyDescent="0.3">
      <c r="G314" s="6" t="s">
        <v>1026</v>
      </c>
      <c r="H314" s="7">
        <v>7641</v>
      </c>
    </row>
    <row r="315" spans="7:8" x14ac:dyDescent="0.3">
      <c r="G315" s="6" t="s">
        <v>1025</v>
      </c>
      <c r="H315" s="7">
        <v>24</v>
      </c>
    </row>
    <row r="316" spans="7:8" x14ac:dyDescent="0.3">
      <c r="G316" s="6" t="s">
        <v>1024</v>
      </c>
      <c r="H316" s="7">
        <v>1</v>
      </c>
    </row>
    <row r="317" spans="7:8" x14ac:dyDescent="0.3">
      <c r="G317" s="6" t="s">
        <v>1023</v>
      </c>
      <c r="H317" s="7">
        <v>208</v>
      </c>
    </row>
    <row r="318" spans="7:8" x14ac:dyDescent="0.3">
      <c r="G318" s="6" t="s">
        <v>1022</v>
      </c>
      <c r="H318" s="7">
        <v>11</v>
      </c>
    </row>
    <row r="319" spans="7:8" x14ac:dyDescent="0.3">
      <c r="G319" s="6" t="s">
        <v>1021</v>
      </c>
      <c r="H319" s="7">
        <v>78</v>
      </c>
    </row>
    <row r="320" spans="7:8" x14ac:dyDescent="0.3">
      <c r="G320" s="6" t="s">
        <v>1020</v>
      </c>
      <c r="H320" s="7">
        <v>1</v>
      </c>
    </row>
    <row r="321" spans="7:8" x14ac:dyDescent="0.3">
      <c r="G321" s="6" t="s">
        <v>1019</v>
      </c>
      <c r="H321" s="7">
        <v>1546</v>
      </c>
    </row>
    <row r="322" spans="7:8" x14ac:dyDescent="0.3">
      <c r="G322" s="6" t="s">
        <v>1018</v>
      </c>
      <c r="H322" s="7">
        <v>47</v>
      </c>
    </row>
    <row r="323" spans="7:8" x14ac:dyDescent="0.3">
      <c r="G323" s="6" t="s">
        <v>1017</v>
      </c>
      <c r="H323" s="7">
        <v>4</v>
      </c>
    </row>
    <row r="324" spans="7:8" x14ac:dyDescent="0.3">
      <c r="G324" s="6" t="s">
        <v>1016</v>
      </c>
      <c r="H324" s="7">
        <v>2</v>
      </c>
    </row>
    <row r="325" spans="7:8" x14ac:dyDescent="0.3">
      <c r="G325" s="6" t="s">
        <v>1015</v>
      </c>
      <c r="H325" s="7">
        <v>1</v>
      </c>
    </row>
    <row r="326" spans="7:8" x14ac:dyDescent="0.3">
      <c r="G326" s="6" t="s">
        <v>1014</v>
      </c>
      <c r="H326" s="7">
        <v>1280</v>
      </c>
    </row>
    <row r="327" spans="7:8" x14ac:dyDescent="0.3">
      <c r="G327" s="6" t="s">
        <v>1013</v>
      </c>
      <c r="H327" s="7">
        <v>579</v>
      </c>
    </row>
    <row r="328" spans="7:8" x14ac:dyDescent="0.3">
      <c r="G328" s="6" t="s">
        <v>1012</v>
      </c>
      <c r="H328" s="7">
        <v>28</v>
      </c>
    </row>
    <row r="329" spans="7:8" x14ac:dyDescent="0.3">
      <c r="G329" s="6" t="s">
        <v>1011</v>
      </c>
      <c r="H329" s="7">
        <v>196</v>
      </c>
    </row>
    <row r="330" spans="7:8" x14ac:dyDescent="0.3">
      <c r="G330" s="6" t="s">
        <v>1010</v>
      </c>
      <c r="H330" s="7">
        <v>29</v>
      </c>
    </row>
    <row r="331" spans="7:8" x14ac:dyDescent="0.3">
      <c r="G331" s="6" t="s">
        <v>1009</v>
      </c>
      <c r="H331" s="7">
        <v>29</v>
      </c>
    </row>
    <row r="332" spans="7:8" x14ac:dyDescent="0.3">
      <c r="G332" s="6" t="s">
        <v>1008</v>
      </c>
      <c r="H332" s="7">
        <v>11995</v>
      </c>
    </row>
    <row r="333" spans="7:8" x14ac:dyDescent="0.3">
      <c r="G333" s="6" t="s">
        <v>1007</v>
      </c>
      <c r="H333" s="7">
        <v>1</v>
      </c>
    </row>
    <row r="334" spans="7:8" x14ac:dyDescent="0.3">
      <c r="G334" s="6" t="s">
        <v>1006</v>
      </c>
      <c r="H334" s="7">
        <v>1</v>
      </c>
    </row>
    <row r="335" spans="7:8" x14ac:dyDescent="0.3">
      <c r="G335" s="6" t="s">
        <v>1005</v>
      </c>
      <c r="H335" s="7">
        <v>43</v>
      </c>
    </row>
    <row r="336" spans="7:8" x14ac:dyDescent="0.3">
      <c r="G336" s="6" t="s">
        <v>1004</v>
      </c>
      <c r="H336" s="7">
        <v>1</v>
      </c>
    </row>
    <row r="337" spans="7:8" x14ac:dyDescent="0.3">
      <c r="G337" s="6" t="s">
        <v>1003</v>
      </c>
      <c r="H337" s="7">
        <v>87481</v>
      </c>
    </row>
    <row r="338" spans="7:8" x14ac:dyDescent="0.3">
      <c r="G338" s="6" t="s">
        <v>1002</v>
      </c>
      <c r="H338" s="7">
        <v>2</v>
      </c>
    </row>
    <row r="339" spans="7:8" x14ac:dyDescent="0.3">
      <c r="G339" s="6" t="s">
        <v>1001</v>
      </c>
      <c r="H339" s="7">
        <v>913</v>
      </c>
    </row>
    <row r="340" spans="7:8" x14ac:dyDescent="0.3">
      <c r="G340" s="6" t="s">
        <v>1000</v>
      </c>
      <c r="H340" s="7">
        <v>11</v>
      </c>
    </row>
    <row r="341" spans="7:8" x14ac:dyDescent="0.3">
      <c r="G341" s="6" t="s">
        <v>999</v>
      </c>
      <c r="H341" s="7">
        <v>9</v>
      </c>
    </row>
    <row r="342" spans="7:8" x14ac:dyDescent="0.3">
      <c r="G342" s="6" t="s">
        <v>998</v>
      </c>
      <c r="H342" s="7">
        <v>1</v>
      </c>
    </row>
    <row r="343" spans="7:8" x14ac:dyDescent="0.3">
      <c r="G343" s="6" t="s">
        <v>997</v>
      </c>
      <c r="H343" s="7">
        <v>334</v>
      </c>
    </row>
    <row r="344" spans="7:8" x14ac:dyDescent="0.3">
      <c r="G344" s="6" t="s">
        <v>996</v>
      </c>
      <c r="H344" s="7">
        <v>2</v>
      </c>
    </row>
    <row r="345" spans="7:8" x14ac:dyDescent="0.3">
      <c r="G345" s="6" t="s">
        <v>995</v>
      </c>
      <c r="H345" s="7">
        <v>7</v>
      </c>
    </row>
    <row r="346" spans="7:8" x14ac:dyDescent="0.3">
      <c r="G346" s="6" t="s">
        <v>994</v>
      </c>
      <c r="H346" s="7">
        <v>3</v>
      </c>
    </row>
    <row r="347" spans="7:8" x14ac:dyDescent="0.3">
      <c r="G347" s="6" t="s">
        <v>993</v>
      </c>
      <c r="H347" s="7">
        <v>112</v>
      </c>
    </row>
    <row r="348" spans="7:8" x14ac:dyDescent="0.3">
      <c r="G348" s="6" t="s">
        <v>992</v>
      </c>
      <c r="H348" s="7">
        <v>689</v>
      </c>
    </row>
    <row r="349" spans="7:8" x14ac:dyDescent="0.3">
      <c r="G349" s="6" t="s">
        <v>991</v>
      </c>
      <c r="H349" s="7">
        <v>3072</v>
      </c>
    </row>
    <row r="350" spans="7:8" x14ac:dyDescent="0.3">
      <c r="G350" s="6" t="s">
        <v>990</v>
      </c>
      <c r="H350" s="7">
        <v>1</v>
      </c>
    </row>
    <row r="351" spans="7:8" x14ac:dyDescent="0.3">
      <c r="G351" s="6" t="s">
        <v>989</v>
      </c>
      <c r="H351" s="7">
        <v>1195</v>
      </c>
    </row>
    <row r="352" spans="7:8" x14ac:dyDescent="0.3">
      <c r="G352" s="6" t="s">
        <v>988</v>
      </c>
      <c r="H352" s="7">
        <v>139</v>
      </c>
    </row>
    <row r="353" spans="7:8" x14ac:dyDescent="0.3">
      <c r="G353" s="6" t="s">
        <v>987</v>
      </c>
      <c r="H353" s="7">
        <v>246</v>
      </c>
    </row>
    <row r="354" spans="7:8" x14ac:dyDescent="0.3">
      <c r="G354" s="6" t="s">
        <v>986</v>
      </c>
      <c r="H354" s="7">
        <v>98</v>
      </c>
    </row>
    <row r="355" spans="7:8" x14ac:dyDescent="0.3">
      <c r="G355" s="6" t="s">
        <v>985</v>
      </c>
      <c r="H355" s="7">
        <v>532</v>
      </c>
    </row>
    <row r="356" spans="7:8" x14ac:dyDescent="0.3">
      <c r="G356" s="6" t="s">
        <v>984</v>
      </c>
      <c r="H356" s="7">
        <v>2</v>
      </c>
    </row>
    <row r="357" spans="7:8" x14ac:dyDescent="0.3">
      <c r="G357" s="6" t="s">
        <v>983</v>
      </c>
      <c r="H357" s="7">
        <v>4</v>
      </c>
    </row>
    <row r="358" spans="7:8" x14ac:dyDescent="0.3">
      <c r="G358" s="6" t="s">
        <v>982</v>
      </c>
      <c r="H358" s="7">
        <v>1</v>
      </c>
    </row>
    <row r="359" spans="7:8" x14ac:dyDescent="0.3">
      <c r="G359" s="6" t="s">
        <v>981</v>
      </c>
      <c r="H359" s="7">
        <v>896</v>
      </c>
    </row>
    <row r="360" spans="7:8" x14ac:dyDescent="0.3">
      <c r="G360" s="6" t="s">
        <v>980</v>
      </c>
      <c r="H360" s="7">
        <v>69</v>
      </c>
    </row>
    <row r="361" spans="7:8" x14ac:dyDescent="0.3">
      <c r="G361" s="6" t="s">
        <v>979</v>
      </c>
      <c r="H361" s="7">
        <v>85</v>
      </c>
    </row>
    <row r="362" spans="7:8" x14ac:dyDescent="0.3">
      <c r="G362" s="6" t="s">
        <v>978</v>
      </c>
      <c r="H362" s="7">
        <v>1226</v>
      </c>
    </row>
    <row r="363" spans="7:8" x14ac:dyDescent="0.3">
      <c r="G363" s="6" t="s">
        <v>977</v>
      </c>
      <c r="H363" s="7">
        <v>162</v>
      </c>
    </row>
    <row r="364" spans="7:8" x14ac:dyDescent="0.3">
      <c r="G364" s="6" t="s">
        <v>976</v>
      </c>
      <c r="H364" s="7">
        <v>937</v>
      </c>
    </row>
    <row r="365" spans="7:8" x14ac:dyDescent="0.3">
      <c r="G365" s="6" t="s">
        <v>975</v>
      </c>
      <c r="H365" s="7">
        <v>2970</v>
      </c>
    </row>
    <row r="366" spans="7:8" x14ac:dyDescent="0.3">
      <c r="G366" s="6" t="s">
        <v>974</v>
      </c>
      <c r="H366" s="7">
        <v>33818</v>
      </c>
    </row>
    <row r="367" spans="7:8" x14ac:dyDescent="0.3">
      <c r="G367" s="6" t="s">
        <v>973</v>
      </c>
      <c r="H367" s="7">
        <v>51</v>
      </c>
    </row>
    <row r="368" spans="7:8" x14ac:dyDescent="0.3">
      <c r="G368" s="6" t="s">
        <v>972</v>
      </c>
      <c r="H368" s="7">
        <v>2</v>
      </c>
    </row>
    <row r="369" spans="7:8" x14ac:dyDescent="0.3">
      <c r="G369" s="6" t="s">
        <v>971</v>
      </c>
      <c r="H369" s="7">
        <v>794</v>
      </c>
    </row>
    <row r="370" spans="7:8" x14ac:dyDescent="0.3">
      <c r="G370" s="6" t="s">
        <v>970</v>
      </c>
      <c r="H370" s="7">
        <v>20</v>
      </c>
    </row>
    <row r="371" spans="7:8" x14ac:dyDescent="0.3">
      <c r="G371" s="6" t="s">
        <v>969</v>
      </c>
      <c r="H371" s="7">
        <v>6</v>
      </c>
    </row>
    <row r="372" spans="7:8" x14ac:dyDescent="0.3">
      <c r="G372" s="6" t="s">
        <v>968</v>
      </c>
      <c r="H372" s="7">
        <v>644</v>
      </c>
    </row>
    <row r="373" spans="7:8" x14ac:dyDescent="0.3">
      <c r="G373" s="6" t="s">
        <v>967</v>
      </c>
      <c r="H373" s="7">
        <v>34</v>
      </c>
    </row>
    <row r="374" spans="7:8" x14ac:dyDescent="0.3">
      <c r="G374" s="6" t="s">
        <v>966</v>
      </c>
      <c r="H374" s="7">
        <v>5494</v>
      </c>
    </row>
    <row r="375" spans="7:8" x14ac:dyDescent="0.3">
      <c r="G375" s="6" t="s">
        <v>965</v>
      </c>
      <c r="H375" s="7">
        <v>4</v>
      </c>
    </row>
    <row r="376" spans="7:8" x14ac:dyDescent="0.3">
      <c r="G376" s="6" t="s">
        <v>964</v>
      </c>
      <c r="H376" s="7">
        <v>110</v>
      </c>
    </row>
    <row r="377" spans="7:8" x14ac:dyDescent="0.3">
      <c r="G377" s="6" t="s">
        <v>963</v>
      </c>
      <c r="H377" s="7">
        <v>16</v>
      </c>
    </row>
    <row r="378" spans="7:8" x14ac:dyDescent="0.3">
      <c r="G378" s="6" t="s">
        <v>962</v>
      </c>
      <c r="H378" s="7">
        <v>1475</v>
      </c>
    </row>
    <row r="379" spans="7:8" x14ac:dyDescent="0.3">
      <c r="G379" s="6" t="s">
        <v>961</v>
      </c>
      <c r="H379" s="7">
        <v>2782</v>
      </c>
    </row>
    <row r="380" spans="7:8" x14ac:dyDescent="0.3">
      <c r="G380" s="6" t="s">
        <v>960</v>
      </c>
      <c r="H380" s="7">
        <v>472</v>
      </c>
    </row>
    <row r="381" spans="7:8" x14ac:dyDescent="0.3">
      <c r="G381" s="6" t="s">
        <v>959</v>
      </c>
      <c r="H381" s="7">
        <v>3</v>
      </c>
    </row>
    <row r="382" spans="7:8" x14ac:dyDescent="0.3">
      <c r="G382" s="6" t="s">
        <v>958</v>
      </c>
      <c r="H382" s="7">
        <v>120</v>
      </c>
    </row>
    <row r="383" spans="7:8" x14ac:dyDescent="0.3">
      <c r="G383" s="6" t="s">
        <v>957</v>
      </c>
      <c r="H383" s="7">
        <v>14</v>
      </c>
    </row>
    <row r="384" spans="7:8" x14ac:dyDescent="0.3">
      <c r="G384" s="6" t="s">
        <v>956</v>
      </c>
      <c r="H384" s="7">
        <v>569</v>
      </c>
    </row>
    <row r="385" spans="7:8" x14ac:dyDescent="0.3">
      <c r="G385" s="6" t="s">
        <v>955</v>
      </c>
      <c r="H385" s="7">
        <v>6</v>
      </c>
    </row>
    <row r="386" spans="7:8" x14ac:dyDescent="0.3">
      <c r="G386" s="6" t="s">
        <v>954</v>
      </c>
      <c r="H386" s="7">
        <v>1179</v>
      </c>
    </row>
    <row r="387" spans="7:8" x14ac:dyDescent="0.3">
      <c r="G387" s="6" t="s">
        <v>953</v>
      </c>
      <c r="H387" s="7">
        <v>718</v>
      </c>
    </row>
    <row r="388" spans="7:8" x14ac:dyDescent="0.3">
      <c r="G388" s="6" t="s">
        <v>952</v>
      </c>
      <c r="H388" s="7">
        <v>22</v>
      </c>
    </row>
    <row r="389" spans="7:8" x14ac:dyDescent="0.3">
      <c r="G389" s="6" t="s">
        <v>951</v>
      </c>
      <c r="H389" s="7">
        <v>4</v>
      </c>
    </row>
    <row r="390" spans="7:8" x14ac:dyDescent="0.3">
      <c r="G390" s="6" t="s">
        <v>950</v>
      </c>
      <c r="H390" s="7">
        <v>1</v>
      </c>
    </row>
    <row r="391" spans="7:8" x14ac:dyDescent="0.3">
      <c r="G391" s="6" t="s">
        <v>949</v>
      </c>
      <c r="H391" s="7">
        <v>127</v>
      </c>
    </row>
    <row r="392" spans="7:8" x14ac:dyDescent="0.3">
      <c r="G392" s="6" t="s">
        <v>948</v>
      </c>
      <c r="H392" s="7">
        <v>431</v>
      </c>
    </row>
    <row r="393" spans="7:8" x14ac:dyDescent="0.3">
      <c r="G393" s="6" t="s">
        <v>947</v>
      </c>
      <c r="H393" s="7">
        <v>1</v>
      </c>
    </row>
    <row r="394" spans="7:8" x14ac:dyDescent="0.3">
      <c r="G394" s="6" t="s">
        <v>946</v>
      </c>
      <c r="H394" s="7">
        <v>339</v>
      </c>
    </row>
    <row r="395" spans="7:8" x14ac:dyDescent="0.3">
      <c r="G395" s="6" t="s">
        <v>945</v>
      </c>
      <c r="H395" s="7">
        <v>605</v>
      </c>
    </row>
    <row r="396" spans="7:8" x14ac:dyDescent="0.3">
      <c r="G396" s="6" t="s">
        <v>944</v>
      </c>
      <c r="H396" s="7">
        <v>12</v>
      </c>
    </row>
    <row r="397" spans="7:8" x14ac:dyDescent="0.3">
      <c r="G397" s="6" t="s">
        <v>943</v>
      </c>
      <c r="H397" s="7">
        <v>10</v>
      </c>
    </row>
    <row r="398" spans="7:8" x14ac:dyDescent="0.3">
      <c r="G398" s="6" t="s">
        <v>942</v>
      </c>
      <c r="H398" s="7">
        <v>89</v>
      </c>
    </row>
    <row r="399" spans="7:8" x14ac:dyDescent="0.3">
      <c r="G399" s="6" t="s">
        <v>941</v>
      </c>
      <c r="H399" s="7">
        <v>1</v>
      </c>
    </row>
    <row r="400" spans="7:8" x14ac:dyDescent="0.3">
      <c r="G400" s="6" t="s">
        <v>940</v>
      </c>
      <c r="H400" s="7">
        <v>1349</v>
      </c>
    </row>
    <row r="401" spans="7:8" x14ac:dyDescent="0.3">
      <c r="G401" s="6" t="s">
        <v>939</v>
      </c>
      <c r="H401" s="7">
        <v>1</v>
      </c>
    </row>
    <row r="402" spans="7:8" x14ac:dyDescent="0.3">
      <c r="G402" s="6" t="s">
        <v>938</v>
      </c>
      <c r="H402" s="7">
        <v>5576</v>
      </c>
    </row>
    <row r="403" spans="7:8" x14ac:dyDescent="0.3">
      <c r="G403" s="6" t="s">
        <v>937</v>
      </c>
      <c r="H403" s="7">
        <v>31</v>
      </c>
    </row>
    <row r="404" spans="7:8" x14ac:dyDescent="0.3">
      <c r="G404" s="6" t="s">
        <v>936</v>
      </c>
      <c r="H404" s="7">
        <v>109</v>
      </c>
    </row>
    <row r="405" spans="7:8" x14ac:dyDescent="0.3">
      <c r="G405" s="6" t="s">
        <v>935</v>
      </c>
      <c r="H405" s="7">
        <v>1007</v>
      </c>
    </row>
    <row r="406" spans="7:8" x14ac:dyDescent="0.3">
      <c r="G406" s="6" t="s">
        <v>934</v>
      </c>
      <c r="H406" s="7">
        <v>1</v>
      </c>
    </row>
    <row r="407" spans="7:8" x14ac:dyDescent="0.3">
      <c r="G407" s="6" t="s">
        <v>933</v>
      </c>
      <c r="H407" s="7">
        <v>80</v>
      </c>
    </row>
    <row r="408" spans="7:8" x14ac:dyDescent="0.3">
      <c r="G408" s="6" t="s">
        <v>932</v>
      </c>
      <c r="H408" s="7">
        <v>37051</v>
      </c>
    </row>
    <row r="409" spans="7:8" x14ac:dyDescent="0.3">
      <c r="G409" s="6" t="s">
        <v>931</v>
      </c>
      <c r="H409" s="7">
        <v>1</v>
      </c>
    </row>
    <row r="410" spans="7:8" x14ac:dyDescent="0.3">
      <c r="G410" s="6" t="s">
        <v>930</v>
      </c>
      <c r="H410" s="7">
        <v>59</v>
      </c>
    </row>
    <row r="411" spans="7:8" x14ac:dyDescent="0.3">
      <c r="G411" s="6" t="s">
        <v>929</v>
      </c>
      <c r="H411" s="7">
        <v>33</v>
      </c>
    </row>
    <row r="412" spans="7:8" x14ac:dyDescent="0.3">
      <c r="G412" s="6" t="s">
        <v>928</v>
      </c>
      <c r="H412" s="7">
        <v>5616</v>
      </c>
    </row>
    <row r="413" spans="7:8" x14ac:dyDescent="0.3">
      <c r="G413" s="6" t="s">
        <v>927</v>
      </c>
      <c r="H413" s="7">
        <v>139</v>
      </c>
    </row>
    <row r="414" spans="7:8" x14ac:dyDescent="0.3">
      <c r="G414" s="6" t="s">
        <v>926</v>
      </c>
      <c r="H414" s="7">
        <v>2</v>
      </c>
    </row>
    <row r="415" spans="7:8" x14ac:dyDescent="0.3">
      <c r="G415" s="6" t="s">
        <v>925</v>
      </c>
      <c r="H415" s="7">
        <v>1057</v>
      </c>
    </row>
    <row r="416" spans="7:8" x14ac:dyDescent="0.3">
      <c r="G416" s="6" t="s">
        <v>924</v>
      </c>
      <c r="H416" s="7">
        <v>101</v>
      </c>
    </row>
    <row r="417" spans="7:8" x14ac:dyDescent="0.3">
      <c r="G417" s="6" t="s">
        <v>923</v>
      </c>
      <c r="H417" s="7">
        <v>1</v>
      </c>
    </row>
    <row r="418" spans="7:8" x14ac:dyDescent="0.3">
      <c r="G418" s="6" t="s">
        <v>922</v>
      </c>
      <c r="H418" s="7">
        <v>10</v>
      </c>
    </row>
    <row r="419" spans="7:8" x14ac:dyDescent="0.3">
      <c r="G419" s="6" t="s">
        <v>921</v>
      </c>
      <c r="H419" s="7">
        <v>275</v>
      </c>
    </row>
    <row r="420" spans="7:8" x14ac:dyDescent="0.3">
      <c r="G420" s="6" t="s">
        <v>920</v>
      </c>
      <c r="H420" s="7">
        <v>112</v>
      </c>
    </row>
    <row r="421" spans="7:8" x14ac:dyDescent="0.3">
      <c r="G421" s="6" t="s">
        <v>919</v>
      </c>
      <c r="H421" s="7">
        <v>1</v>
      </c>
    </row>
    <row r="422" spans="7:8" x14ac:dyDescent="0.3">
      <c r="G422" s="6" t="s">
        <v>918</v>
      </c>
      <c r="H422" s="7">
        <v>112</v>
      </c>
    </row>
    <row r="423" spans="7:8" x14ac:dyDescent="0.3">
      <c r="G423" s="6" t="s">
        <v>917</v>
      </c>
      <c r="H423" s="7">
        <v>364</v>
      </c>
    </row>
    <row r="424" spans="7:8" x14ac:dyDescent="0.3">
      <c r="G424" s="6" t="s">
        <v>916</v>
      </c>
      <c r="H424" s="7">
        <v>23</v>
      </c>
    </row>
    <row r="425" spans="7:8" x14ac:dyDescent="0.3">
      <c r="G425" s="6" t="s">
        <v>915</v>
      </c>
      <c r="H425" s="7">
        <v>274</v>
      </c>
    </row>
    <row r="426" spans="7:8" x14ac:dyDescent="0.3">
      <c r="G426" s="6" t="s">
        <v>914</v>
      </c>
      <c r="H426" s="7">
        <v>9</v>
      </c>
    </row>
    <row r="427" spans="7:8" x14ac:dyDescent="0.3">
      <c r="G427" s="6" t="s">
        <v>913</v>
      </c>
      <c r="H427" s="7">
        <v>5</v>
      </c>
    </row>
    <row r="428" spans="7:8" x14ac:dyDescent="0.3">
      <c r="G428" s="6" t="s">
        <v>912</v>
      </c>
      <c r="H428" s="7">
        <v>210</v>
      </c>
    </row>
    <row r="429" spans="7:8" x14ac:dyDescent="0.3">
      <c r="G429" s="6" t="s">
        <v>911</v>
      </c>
      <c r="H429" s="7">
        <v>1</v>
      </c>
    </row>
    <row r="430" spans="7:8" x14ac:dyDescent="0.3">
      <c r="G430" s="6" t="s">
        <v>910</v>
      </c>
      <c r="H430" s="7">
        <v>326</v>
      </c>
    </row>
    <row r="431" spans="7:8" x14ac:dyDescent="0.3">
      <c r="G431" s="6" t="s">
        <v>909</v>
      </c>
      <c r="H431" s="7">
        <v>317</v>
      </c>
    </row>
    <row r="432" spans="7:8" x14ac:dyDescent="0.3">
      <c r="G432" s="6" t="s">
        <v>908</v>
      </c>
      <c r="H432" s="7">
        <v>3</v>
      </c>
    </row>
    <row r="433" spans="7:8" x14ac:dyDescent="0.3">
      <c r="G433" s="6" t="s">
        <v>907</v>
      </c>
      <c r="H433" s="7">
        <v>9</v>
      </c>
    </row>
    <row r="434" spans="7:8" x14ac:dyDescent="0.3">
      <c r="G434" s="6" t="s">
        <v>906</v>
      </c>
      <c r="H434" s="7">
        <v>2151</v>
      </c>
    </row>
    <row r="435" spans="7:8" x14ac:dyDescent="0.3">
      <c r="G435" s="6" t="s">
        <v>905</v>
      </c>
      <c r="H435" s="7">
        <v>49</v>
      </c>
    </row>
    <row r="436" spans="7:8" x14ac:dyDescent="0.3">
      <c r="G436" s="6" t="s">
        <v>904</v>
      </c>
      <c r="H436" s="7">
        <v>1</v>
      </c>
    </row>
    <row r="437" spans="7:8" x14ac:dyDescent="0.3">
      <c r="G437" s="6" t="s">
        <v>903</v>
      </c>
      <c r="H437" s="7">
        <v>43783</v>
      </c>
    </row>
    <row r="438" spans="7:8" x14ac:dyDescent="0.3">
      <c r="G438" s="6" t="s">
        <v>902</v>
      </c>
      <c r="H438" s="7">
        <v>2866</v>
      </c>
    </row>
    <row r="439" spans="7:8" x14ac:dyDescent="0.3">
      <c r="G439" s="6" t="s">
        <v>901</v>
      </c>
      <c r="H439" s="7">
        <v>210</v>
      </c>
    </row>
    <row r="440" spans="7:8" x14ac:dyDescent="0.3">
      <c r="G440" s="6" t="s">
        <v>900</v>
      </c>
      <c r="H440" s="7">
        <v>77</v>
      </c>
    </row>
    <row r="441" spans="7:8" x14ac:dyDescent="0.3">
      <c r="G441" s="6" t="s">
        <v>899</v>
      </c>
      <c r="H441" s="7">
        <v>27</v>
      </c>
    </row>
    <row r="442" spans="7:8" x14ac:dyDescent="0.3">
      <c r="G442" s="6" t="s">
        <v>898</v>
      </c>
      <c r="H442" s="7">
        <v>29</v>
      </c>
    </row>
    <row r="443" spans="7:8" x14ac:dyDescent="0.3">
      <c r="G443" s="6" t="s">
        <v>897</v>
      </c>
      <c r="H443" s="7">
        <v>619</v>
      </c>
    </row>
    <row r="444" spans="7:8" x14ac:dyDescent="0.3">
      <c r="G444" s="6" t="s">
        <v>896</v>
      </c>
      <c r="H444" s="7">
        <v>3068</v>
      </c>
    </row>
    <row r="445" spans="7:8" x14ac:dyDescent="0.3">
      <c r="G445" s="6" t="s">
        <v>895</v>
      </c>
      <c r="H445" s="7">
        <v>2161</v>
      </c>
    </row>
    <row r="446" spans="7:8" x14ac:dyDescent="0.3">
      <c r="G446" s="6" t="s">
        <v>894</v>
      </c>
      <c r="H446" s="7">
        <v>6513</v>
      </c>
    </row>
    <row r="447" spans="7:8" x14ac:dyDescent="0.3">
      <c r="G447" s="6" t="s">
        <v>893</v>
      </c>
      <c r="H447" s="7">
        <v>2</v>
      </c>
    </row>
    <row r="448" spans="7:8" x14ac:dyDescent="0.3">
      <c r="G448" s="6" t="s">
        <v>892</v>
      </c>
      <c r="H448" s="7">
        <v>201</v>
      </c>
    </row>
    <row r="449" spans="7:8" x14ac:dyDescent="0.3">
      <c r="G449" s="6" t="s">
        <v>891</v>
      </c>
      <c r="H449" s="7">
        <v>145</v>
      </c>
    </row>
    <row r="450" spans="7:8" x14ac:dyDescent="0.3">
      <c r="G450" s="6" t="s">
        <v>890</v>
      </c>
      <c r="H450" s="7">
        <v>1</v>
      </c>
    </row>
    <row r="451" spans="7:8" x14ac:dyDescent="0.3">
      <c r="G451" s="6" t="s">
        <v>889</v>
      </c>
      <c r="H451" s="7">
        <v>76</v>
      </c>
    </row>
    <row r="452" spans="7:8" x14ac:dyDescent="0.3">
      <c r="G452" s="6" t="s">
        <v>888</v>
      </c>
      <c r="H452" s="7">
        <v>663</v>
      </c>
    </row>
    <row r="453" spans="7:8" x14ac:dyDescent="0.3">
      <c r="G453" s="6" t="s">
        <v>887</v>
      </c>
      <c r="H453" s="7">
        <v>93</v>
      </c>
    </row>
    <row r="454" spans="7:8" x14ac:dyDescent="0.3">
      <c r="G454" s="6" t="s">
        <v>886</v>
      </c>
      <c r="H454" s="7">
        <v>500</v>
      </c>
    </row>
    <row r="455" spans="7:8" x14ac:dyDescent="0.3">
      <c r="G455" s="6" t="s">
        <v>885</v>
      </c>
      <c r="H455" s="7">
        <v>68108</v>
      </c>
    </row>
    <row r="456" spans="7:8" x14ac:dyDescent="0.3">
      <c r="G456" s="6" t="s">
        <v>884</v>
      </c>
      <c r="H456" s="7">
        <v>38</v>
      </c>
    </row>
    <row r="457" spans="7:8" x14ac:dyDescent="0.3">
      <c r="G457" s="6" t="s">
        <v>883</v>
      </c>
      <c r="H457" s="7">
        <v>252</v>
      </c>
    </row>
    <row r="458" spans="7:8" x14ac:dyDescent="0.3">
      <c r="G458" s="6" t="s">
        <v>882</v>
      </c>
      <c r="H458" s="7">
        <v>11614</v>
      </c>
    </row>
    <row r="459" spans="7:8" x14ac:dyDescent="0.3">
      <c r="G459" s="6" t="s">
        <v>881</v>
      </c>
      <c r="H459" s="7">
        <v>588</v>
      </c>
    </row>
    <row r="460" spans="7:8" x14ac:dyDescent="0.3">
      <c r="G460" s="6" t="s">
        <v>880</v>
      </c>
      <c r="H460" s="7">
        <v>13</v>
      </c>
    </row>
    <row r="461" spans="7:8" x14ac:dyDescent="0.3">
      <c r="G461" s="6" t="s">
        <v>879</v>
      </c>
      <c r="H461" s="7">
        <v>4475</v>
      </c>
    </row>
    <row r="462" spans="7:8" x14ac:dyDescent="0.3">
      <c r="G462" s="6" t="s">
        <v>878</v>
      </c>
      <c r="H462" s="7">
        <v>67</v>
      </c>
    </row>
    <row r="463" spans="7:8" x14ac:dyDescent="0.3">
      <c r="G463" s="6" t="s">
        <v>877</v>
      </c>
      <c r="H463" s="7">
        <v>860</v>
      </c>
    </row>
    <row r="464" spans="7:8" x14ac:dyDescent="0.3">
      <c r="G464" s="6" t="s">
        <v>876</v>
      </c>
      <c r="H464" s="7">
        <v>912</v>
      </c>
    </row>
    <row r="465" spans="7:8" x14ac:dyDescent="0.3">
      <c r="G465" s="6" t="s">
        <v>875</v>
      </c>
      <c r="H465" s="7">
        <v>14595</v>
      </c>
    </row>
    <row r="466" spans="7:8" x14ac:dyDescent="0.3">
      <c r="G466" s="6" t="s">
        <v>874</v>
      </c>
      <c r="H466" s="7">
        <v>70</v>
      </c>
    </row>
    <row r="467" spans="7:8" x14ac:dyDescent="0.3">
      <c r="G467" s="6" t="s">
        <v>873</v>
      </c>
      <c r="H467" s="7">
        <v>35</v>
      </c>
    </row>
    <row r="468" spans="7:8" x14ac:dyDescent="0.3">
      <c r="G468" s="6" t="s">
        <v>872</v>
      </c>
      <c r="H468" s="7">
        <v>588266</v>
      </c>
    </row>
    <row r="469" spans="7:8" x14ac:dyDescent="0.3">
      <c r="G469" s="6" t="s">
        <v>871</v>
      </c>
      <c r="H469" s="7">
        <v>196182</v>
      </c>
    </row>
    <row r="470" spans="7:8" x14ac:dyDescent="0.3">
      <c r="G470" s="6" t="s">
        <v>870</v>
      </c>
      <c r="H470" s="7">
        <v>29116</v>
      </c>
    </row>
    <row r="471" spans="7:8" x14ac:dyDescent="0.3">
      <c r="G471" s="6" t="s">
        <v>869</v>
      </c>
      <c r="H471" s="7">
        <v>2</v>
      </c>
    </row>
    <row r="472" spans="7:8" x14ac:dyDescent="0.3">
      <c r="G472" s="6" t="s">
        <v>868</v>
      </c>
      <c r="H472" s="7">
        <v>1289</v>
      </c>
    </row>
    <row r="473" spans="7:8" x14ac:dyDescent="0.3">
      <c r="G473" s="6" t="s">
        <v>867</v>
      </c>
      <c r="H473" s="7">
        <v>826</v>
      </c>
    </row>
    <row r="474" spans="7:8" x14ac:dyDescent="0.3">
      <c r="G474" s="6" t="s">
        <v>866</v>
      </c>
      <c r="H474" s="7">
        <v>647</v>
      </c>
    </row>
    <row r="475" spans="7:8" x14ac:dyDescent="0.3">
      <c r="G475" s="6" t="s">
        <v>865</v>
      </c>
      <c r="H475" s="7">
        <v>5</v>
      </c>
    </row>
    <row r="476" spans="7:8" x14ac:dyDescent="0.3">
      <c r="G476" s="6" t="s">
        <v>864</v>
      </c>
      <c r="H476" s="7">
        <v>267</v>
      </c>
    </row>
    <row r="477" spans="7:8" x14ac:dyDescent="0.3">
      <c r="G477" s="6" t="s">
        <v>863</v>
      </c>
      <c r="H477" s="7">
        <v>958</v>
      </c>
    </row>
    <row r="478" spans="7:8" x14ac:dyDescent="0.3">
      <c r="G478" s="6" t="s">
        <v>862</v>
      </c>
      <c r="H478" s="7">
        <v>7948</v>
      </c>
    </row>
    <row r="479" spans="7:8" x14ac:dyDescent="0.3">
      <c r="G479" s="6" t="s">
        <v>861</v>
      </c>
      <c r="H479" s="7">
        <v>420</v>
      </c>
    </row>
    <row r="480" spans="7:8" x14ac:dyDescent="0.3">
      <c r="G480" s="6" t="s">
        <v>860</v>
      </c>
      <c r="H480" s="7">
        <v>366</v>
      </c>
    </row>
    <row r="481" spans="7:8" x14ac:dyDescent="0.3">
      <c r="G481" s="6" t="s">
        <v>859</v>
      </c>
      <c r="H481" s="7">
        <v>485</v>
      </c>
    </row>
    <row r="482" spans="7:8" x14ac:dyDescent="0.3">
      <c r="G482" s="6" t="s">
        <v>858</v>
      </c>
      <c r="H482" s="7">
        <v>1465</v>
      </c>
    </row>
    <row r="483" spans="7:8" x14ac:dyDescent="0.3">
      <c r="G483" s="6" t="s">
        <v>857</v>
      </c>
      <c r="H483" s="7">
        <v>28</v>
      </c>
    </row>
    <row r="484" spans="7:8" x14ac:dyDescent="0.3">
      <c r="G484" s="6" t="s">
        <v>856</v>
      </c>
      <c r="H484" s="7">
        <v>320</v>
      </c>
    </row>
    <row r="485" spans="7:8" x14ac:dyDescent="0.3">
      <c r="G485" s="6" t="s">
        <v>855</v>
      </c>
      <c r="H485" s="7">
        <v>1</v>
      </c>
    </row>
    <row r="486" spans="7:8" x14ac:dyDescent="0.3">
      <c r="G486" s="6" t="s">
        <v>854</v>
      </c>
      <c r="H486" s="7">
        <v>4792</v>
      </c>
    </row>
    <row r="487" spans="7:8" x14ac:dyDescent="0.3">
      <c r="G487" s="6" t="s">
        <v>853</v>
      </c>
      <c r="H487" s="7">
        <v>58</v>
      </c>
    </row>
    <row r="488" spans="7:8" x14ac:dyDescent="0.3">
      <c r="G488" s="6" t="s">
        <v>852</v>
      </c>
      <c r="H488" s="7">
        <v>1547</v>
      </c>
    </row>
    <row r="489" spans="7:8" x14ac:dyDescent="0.3">
      <c r="G489" s="6" t="s">
        <v>851</v>
      </c>
      <c r="H489" s="7">
        <v>124</v>
      </c>
    </row>
    <row r="490" spans="7:8" x14ac:dyDescent="0.3">
      <c r="G490" s="6" t="s">
        <v>850</v>
      </c>
      <c r="H490" s="7">
        <v>1</v>
      </c>
    </row>
    <row r="491" spans="7:8" x14ac:dyDescent="0.3">
      <c r="G491" s="6" t="s">
        <v>849</v>
      </c>
      <c r="H491" s="7">
        <v>483</v>
      </c>
    </row>
    <row r="492" spans="7:8" x14ac:dyDescent="0.3">
      <c r="G492" s="6" t="s">
        <v>848</v>
      </c>
      <c r="H492" s="7">
        <v>26</v>
      </c>
    </row>
    <row r="493" spans="7:8" x14ac:dyDescent="0.3">
      <c r="G493" s="6" t="s">
        <v>847</v>
      </c>
      <c r="H493" s="7">
        <v>1</v>
      </c>
    </row>
    <row r="494" spans="7:8" x14ac:dyDescent="0.3">
      <c r="G494" s="6" t="s">
        <v>846</v>
      </c>
      <c r="H494" s="7">
        <v>11</v>
      </c>
    </row>
    <row r="495" spans="7:8" x14ac:dyDescent="0.3">
      <c r="G495" s="6" t="s">
        <v>845</v>
      </c>
      <c r="H495" s="7">
        <v>67</v>
      </c>
    </row>
    <row r="496" spans="7:8" x14ac:dyDescent="0.3">
      <c r="G496" s="6" t="s">
        <v>844</v>
      </c>
      <c r="H496" s="7">
        <v>5455</v>
      </c>
    </row>
    <row r="497" spans="7:8" x14ac:dyDescent="0.3">
      <c r="G497" s="6" t="s">
        <v>843</v>
      </c>
      <c r="H497" s="7">
        <v>99</v>
      </c>
    </row>
    <row r="498" spans="7:8" x14ac:dyDescent="0.3">
      <c r="G498" s="6" t="s">
        <v>842</v>
      </c>
      <c r="H498" s="7">
        <v>71</v>
      </c>
    </row>
    <row r="499" spans="7:8" x14ac:dyDescent="0.3">
      <c r="G499" s="6" t="s">
        <v>841</v>
      </c>
      <c r="H499" s="7">
        <v>1</v>
      </c>
    </row>
    <row r="500" spans="7:8" x14ac:dyDescent="0.3">
      <c r="G500" s="6" t="s">
        <v>840</v>
      </c>
      <c r="H500" s="7">
        <v>3498</v>
      </c>
    </row>
    <row r="501" spans="7:8" x14ac:dyDescent="0.3">
      <c r="G501" s="6" t="s">
        <v>839</v>
      </c>
      <c r="H501" s="7">
        <v>975</v>
      </c>
    </row>
    <row r="502" spans="7:8" x14ac:dyDescent="0.3">
      <c r="G502" s="6" t="s">
        <v>838</v>
      </c>
      <c r="H502" s="7">
        <v>4</v>
      </c>
    </row>
    <row r="503" spans="7:8" x14ac:dyDescent="0.3">
      <c r="G503" s="6" t="s">
        <v>837</v>
      </c>
      <c r="H503" s="7">
        <v>76</v>
      </c>
    </row>
    <row r="504" spans="7:8" x14ac:dyDescent="0.3">
      <c r="G504" s="6" t="s">
        <v>836</v>
      </c>
      <c r="H504" s="7">
        <v>62</v>
      </c>
    </row>
    <row r="505" spans="7:8" x14ac:dyDescent="0.3">
      <c r="G505" s="6" t="s">
        <v>835</v>
      </c>
      <c r="H505" s="7">
        <v>22</v>
      </c>
    </row>
    <row r="506" spans="7:8" x14ac:dyDescent="0.3">
      <c r="G506" s="6" t="s">
        <v>834</v>
      </c>
      <c r="H506" s="7">
        <v>37</v>
      </c>
    </row>
    <row r="507" spans="7:8" x14ac:dyDescent="0.3">
      <c r="G507" s="6" t="s">
        <v>833</v>
      </c>
      <c r="H507" s="7">
        <v>52</v>
      </c>
    </row>
    <row r="508" spans="7:8" x14ac:dyDescent="0.3">
      <c r="G508" s="6" t="s">
        <v>832</v>
      </c>
      <c r="H508" s="7">
        <v>306</v>
      </c>
    </row>
    <row r="509" spans="7:8" x14ac:dyDescent="0.3">
      <c r="G509" s="6" t="s">
        <v>831</v>
      </c>
      <c r="H509" s="7">
        <v>265</v>
      </c>
    </row>
    <row r="510" spans="7:8" x14ac:dyDescent="0.3">
      <c r="G510" s="6" t="s">
        <v>830</v>
      </c>
      <c r="H510" s="7">
        <v>10355</v>
      </c>
    </row>
    <row r="511" spans="7:8" x14ac:dyDescent="0.3">
      <c r="G511" s="6" t="s">
        <v>829</v>
      </c>
      <c r="H511" s="7">
        <v>6</v>
      </c>
    </row>
    <row r="512" spans="7:8" x14ac:dyDescent="0.3">
      <c r="G512" s="6" t="s">
        <v>828</v>
      </c>
      <c r="H512" s="7">
        <v>1</v>
      </c>
    </row>
    <row r="513" spans="7:8" x14ac:dyDescent="0.3">
      <c r="G513" s="6" t="s">
        <v>827</v>
      </c>
      <c r="H513" s="7">
        <v>17</v>
      </c>
    </row>
    <row r="514" spans="7:8" x14ac:dyDescent="0.3">
      <c r="G514" s="6" t="s">
        <v>826</v>
      </c>
      <c r="H514" s="7">
        <v>50</v>
      </c>
    </row>
    <row r="515" spans="7:8" x14ac:dyDescent="0.3">
      <c r="G515" s="6" t="s">
        <v>825</v>
      </c>
      <c r="H515" s="7">
        <v>2</v>
      </c>
    </row>
    <row r="516" spans="7:8" x14ac:dyDescent="0.3">
      <c r="G516" s="6" t="s">
        <v>824</v>
      </c>
      <c r="H516" s="7">
        <v>6087</v>
      </c>
    </row>
    <row r="517" spans="7:8" x14ac:dyDescent="0.3">
      <c r="G517" s="6" t="s">
        <v>823</v>
      </c>
      <c r="H517" s="7">
        <v>494</v>
      </c>
    </row>
    <row r="518" spans="7:8" x14ac:dyDescent="0.3">
      <c r="G518" s="6" t="s">
        <v>822</v>
      </c>
      <c r="H518" s="7">
        <v>14</v>
      </c>
    </row>
    <row r="519" spans="7:8" x14ac:dyDescent="0.3">
      <c r="G519" s="6" t="s">
        <v>821</v>
      </c>
      <c r="H519" s="7">
        <v>8</v>
      </c>
    </row>
    <row r="520" spans="7:8" x14ac:dyDescent="0.3">
      <c r="G520" s="6" t="s">
        <v>820</v>
      </c>
      <c r="H520" s="7">
        <v>137</v>
      </c>
    </row>
    <row r="521" spans="7:8" x14ac:dyDescent="0.3">
      <c r="G521" s="6" t="s">
        <v>819</v>
      </c>
      <c r="H521" s="7">
        <v>3</v>
      </c>
    </row>
    <row r="522" spans="7:8" x14ac:dyDescent="0.3">
      <c r="G522" s="6" t="s">
        <v>818</v>
      </c>
      <c r="H522" s="7">
        <v>246</v>
      </c>
    </row>
    <row r="523" spans="7:8" x14ac:dyDescent="0.3">
      <c r="G523" s="6" t="s">
        <v>817</v>
      </c>
      <c r="H523" s="7">
        <v>210</v>
      </c>
    </row>
    <row r="524" spans="7:8" x14ac:dyDescent="0.3">
      <c r="G524" s="6" t="s">
        <v>816</v>
      </c>
      <c r="H524" s="7">
        <v>289</v>
      </c>
    </row>
    <row r="525" spans="7:8" x14ac:dyDescent="0.3">
      <c r="G525" s="6" t="s">
        <v>815</v>
      </c>
      <c r="H525" s="7">
        <v>49</v>
      </c>
    </row>
    <row r="526" spans="7:8" x14ac:dyDescent="0.3">
      <c r="G526" s="6" t="s">
        <v>814</v>
      </c>
      <c r="H526" s="7">
        <v>289</v>
      </c>
    </row>
    <row r="527" spans="7:8" x14ac:dyDescent="0.3">
      <c r="G527" s="6" t="s">
        <v>813</v>
      </c>
      <c r="H527" s="7">
        <v>1</v>
      </c>
    </row>
    <row r="528" spans="7:8" x14ac:dyDescent="0.3">
      <c r="G528" s="6" t="s">
        <v>812</v>
      </c>
      <c r="H528" s="7">
        <v>132</v>
      </c>
    </row>
    <row r="529" spans="7:8" x14ac:dyDescent="0.3">
      <c r="G529" s="6" t="s">
        <v>811</v>
      </c>
      <c r="H529" s="7">
        <v>44250</v>
      </c>
    </row>
    <row r="530" spans="7:8" x14ac:dyDescent="0.3">
      <c r="G530" s="6" t="s">
        <v>810</v>
      </c>
      <c r="H530" s="7">
        <v>3391</v>
      </c>
    </row>
    <row r="531" spans="7:8" x14ac:dyDescent="0.3">
      <c r="G531" s="6" t="s">
        <v>809</v>
      </c>
      <c r="H531" s="7">
        <v>17</v>
      </c>
    </row>
    <row r="532" spans="7:8" x14ac:dyDescent="0.3">
      <c r="G532" s="6" t="s">
        <v>808</v>
      </c>
      <c r="H532" s="7">
        <v>94</v>
      </c>
    </row>
    <row r="533" spans="7:8" x14ac:dyDescent="0.3">
      <c r="G533" s="6" t="s">
        <v>807</v>
      </c>
      <c r="H533" s="7">
        <v>4</v>
      </c>
    </row>
    <row r="534" spans="7:8" x14ac:dyDescent="0.3">
      <c r="G534" s="6" t="s">
        <v>806</v>
      </c>
      <c r="H534" s="7">
        <v>23343</v>
      </c>
    </row>
    <row r="535" spans="7:8" x14ac:dyDescent="0.3">
      <c r="G535" s="6" t="s">
        <v>805</v>
      </c>
      <c r="H535" s="7">
        <v>5315</v>
      </c>
    </row>
    <row r="536" spans="7:8" x14ac:dyDescent="0.3">
      <c r="G536" s="6" t="s">
        <v>804</v>
      </c>
      <c r="H536" s="7">
        <v>399</v>
      </c>
    </row>
    <row r="537" spans="7:8" x14ac:dyDescent="0.3">
      <c r="G537" s="6" t="s">
        <v>803</v>
      </c>
      <c r="H537" s="7">
        <v>734</v>
      </c>
    </row>
    <row r="538" spans="7:8" x14ac:dyDescent="0.3">
      <c r="G538" s="6" t="s">
        <v>802</v>
      </c>
      <c r="H538" s="7">
        <v>1</v>
      </c>
    </row>
    <row r="539" spans="7:8" x14ac:dyDescent="0.3">
      <c r="G539" s="6" t="s">
        <v>801</v>
      </c>
      <c r="H539" s="7">
        <v>282</v>
      </c>
    </row>
    <row r="540" spans="7:8" x14ac:dyDescent="0.3">
      <c r="G540" s="6" t="s">
        <v>800</v>
      </c>
      <c r="H540" s="7">
        <v>19</v>
      </c>
    </row>
    <row r="541" spans="7:8" x14ac:dyDescent="0.3">
      <c r="G541" s="6" t="s">
        <v>799</v>
      </c>
      <c r="H541" s="7">
        <v>1</v>
      </c>
    </row>
    <row r="542" spans="7:8" x14ac:dyDescent="0.3">
      <c r="G542" s="6" t="s">
        <v>798</v>
      </c>
      <c r="H542" s="7">
        <v>2</v>
      </c>
    </row>
    <row r="543" spans="7:8" x14ac:dyDescent="0.3">
      <c r="G543" s="6" t="s">
        <v>797</v>
      </c>
      <c r="H543" s="7">
        <v>30</v>
      </c>
    </row>
    <row r="544" spans="7:8" x14ac:dyDescent="0.3">
      <c r="G544" s="6" t="s">
        <v>796</v>
      </c>
      <c r="H544" s="7">
        <v>321</v>
      </c>
    </row>
    <row r="545" spans="7:8" x14ac:dyDescent="0.3">
      <c r="G545" s="6" t="s">
        <v>795</v>
      </c>
      <c r="H545" s="7">
        <v>64</v>
      </c>
    </row>
    <row r="546" spans="7:8" x14ac:dyDescent="0.3">
      <c r="G546" s="6" t="s">
        <v>794</v>
      </c>
      <c r="H546" s="7">
        <v>24</v>
      </c>
    </row>
    <row r="547" spans="7:8" x14ac:dyDescent="0.3">
      <c r="G547" s="6" t="s">
        <v>793</v>
      </c>
      <c r="H547" s="7">
        <v>253</v>
      </c>
    </row>
    <row r="548" spans="7:8" x14ac:dyDescent="0.3">
      <c r="G548" s="6" t="s">
        <v>792</v>
      </c>
      <c r="H548" s="7">
        <v>4678</v>
      </c>
    </row>
    <row r="549" spans="7:8" x14ac:dyDescent="0.3">
      <c r="G549" s="6" t="s">
        <v>791</v>
      </c>
      <c r="H549" s="7">
        <v>829</v>
      </c>
    </row>
    <row r="550" spans="7:8" x14ac:dyDescent="0.3">
      <c r="G550" s="6" t="s">
        <v>790</v>
      </c>
      <c r="H550" s="7">
        <v>1152</v>
      </c>
    </row>
    <row r="551" spans="7:8" x14ac:dyDescent="0.3">
      <c r="G551" s="6" t="s">
        <v>789</v>
      </c>
      <c r="H551" s="7">
        <v>14</v>
      </c>
    </row>
    <row r="552" spans="7:8" x14ac:dyDescent="0.3">
      <c r="G552" s="6" t="s">
        <v>788</v>
      </c>
      <c r="H552" s="7">
        <v>938</v>
      </c>
    </row>
    <row r="553" spans="7:8" x14ac:dyDescent="0.3">
      <c r="G553" s="6" t="s">
        <v>787</v>
      </c>
      <c r="H553" s="7">
        <v>88</v>
      </c>
    </row>
    <row r="554" spans="7:8" x14ac:dyDescent="0.3">
      <c r="G554" s="6" t="s">
        <v>786</v>
      </c>
      <c r="H554" s="7">
        <v>102</v>
      </c>
    </row>
    <row r="555" spans="7:8" x14ac:dyDescent="0.3">
      <c r="G555" s="6" t="s">
        <v>785</v>
      </c>
      <c r="H555" s="7">
        <v>1561</v>
      </c>
    </row>
    <row r="556" spans="7:8" x14ac:dyDescent="0.3">
      <c r="G556" s="6" t="s">
        <v>784</v>
      </c>
      <c r="H556" s="7">
        <v>1</v>
      </c>
    </row>
    <row r="557" spans="7:8" x14ac:dyDescent="0.3">
      <c r="G557" s="6" t="s">
        <v>783</v>
      </c>
      <c r="H557" s="7">
        <v>21</v>
      </c>
    </row>
    <row r="558" spans="7:8" x14ac:dyDescent="0.3">
      <c r="G558" s="6" t="s">
        <v>782</v>
      </c>
      <c r="H558" s="7">
        <v>3</v>
      </c>
    </row>
    <row r="559" spans="7:8" x14ac:dyDescent="0.3">
      <c r="G559" s="6" t="s">
        <v>781</v>
      </c>
      <c r="H559" s="7">
        <v>3</v>
      </c>
    </row>
    <row r="560" spans="7:8" x14ac:dyDescent="0.3">
      <c r="G560" s="6" t="s">
        <v>780</v>
      </c>
      <c r="H560" s="7">
        <v>25</v>
      </c>
    </row>
    <row r="561" spans="7:8" x14ac:dyDescent="0.3">
      <c r="G561" s="6" t="s">
        <v>779</v>
      </c>
      <c r="H561" s="7">
        <v>46534</v>
      </c>
    </row>
    <row r="562" spans="7:8" x14ac:dyDescent="0.3">
      <c r="G562" s="6" t="s">
        <v>778</v>
      </c>
      <c r="H562" s="7">
        <v>1</v>
      </c>
    </row>
    <row r="563" spans="7:8" x14ac:dyDescent="0.3">
      <c r="G563" s="6" t="s">
        <v>777</v>
      </c>
      <c r="H563" s="7">
        <v>34807</v>
      </c>
    </row>
    <row r="564" spans="7:8" x14ac:dyDescent="0.3">
      <c r="G564" s="6" t="s">
        <v>776</v>
      </c>
      <c r="H564" s="7">
        <v>36</v>
      </c>
    </row>
    <row r="565" spans="7:8" x14ac:dyDescent="0.3">
      <c r="G565" s="6" t="s">
        <v>775</v>
      </c>
      <c r="H565" s="7">
        <v>2</v>
      </c>
    </row>
    <row r="566" spans="7:8" x14ac:dyDescent="0.3">
      <c r="G566" s="6" t="s">
        <v>774</v>
      </c>
      <c r="H566" s="7">
        <v>84794</v>
      </c>
    </row>
    <row r="567" spans="7:8" x14ac:dyDescent="0.3">
      <c r="G567" s="6" t="s">
        <v>773</v>
      </c>
      <c r="H567" s="7">
        <v>217</v>
      </c>
    </row>
    <row r="568" spans="7:8" x14ac:dyDescent="0.3">
      <c r="G568" s="6" t="s">
        <v>772</v>
      </c>
      <c r="H568" s="7">
        <v>1</v>
      </c>
    </row>
    <row r="569" spans="7:8" x14ac:dyDescent="0.3">
      <c r="G569" s="6" t="s">
        <v>771</v>
      </c>
      <c r="H569" s="7">
        <v>3</v>
      </c>
    </row>
    <row r="570" spans="7:8" x14ac:dyDescent="0.3">
      <c r="G570" s="6" t="s">
        <v>770</v>
      </c>
      <c r="H570" s="7">
        <v>3</v>
      </c>
    </row>
    <row r="571" spans="7:8" x14ac:dyDescent="0.3">
      <c r="G571" s="6" t="s">
        <v>769</v>
      </c>
      <c r="H571" s="7">
        <v>12</v>
      </c>
    </row>
    <row r="572" spans="7:8" x14ac:dyDescent="0.3">
      <c r="G572" s="6" t="s">
        <v>768</v>
      </c>
      <c r="H572" s="7">
        <v>2</v>
      </c>
    </row>
    <row r="573" spans="7:8" x14ac:dyDescent="0.3">
      <c r="G573" s="6" t="s">
        <v>767</v>
      </c>
      <c r="H573" s="7">
        <v>28</v>
      </c>
    </row>
    <row r="574" spans="7:8" x14ac:dyDescent="0.3">
      <c r="G574" s="6" t="s">
        <v>766</v>
      </c>
      <c r="H574" s="7">
        <v>3087</v>
      </c>
    </row>
    <row r="575" spans="7:8" x14ac:dyDescent="0.3">
      <c r="G575" s="6" t="s">
        <v>765</v>
      </c>
      <c r="H575" s="7">
        <v>15717</v>
      </c>
    </row>
    <row r="576" spans="7:8" x14ac:dyDescent="0.3">
      <c r="G576" s="6" t="s">
        <v>764</v>
      </c>
      <c r="H576" s="7">
        <v>22</v>
      </c>
    </row>
    <row r="577" spans="7:8" x14ac:dyDescent="0.3">
      <c r="G577" s="6" t="s">
        <v>763</v>
      </c>
      <c r="H577" s="7">
        <v>411</v>
      </c>
    </row>
    <row r="578" spans="7:8" x14ac:dyDescent="0.3">
      <c r="G578" s="6" t="s">
        <v>762</v>
      </c>
      <c r="H578" s="7">
        <v>11</v>
      </c>
    </row>
    <row r="579" spans="7:8" x14ac:dyDescent="0.3">
      <c r="G579" s="6" t="s">
        <v>761</v>
      </c>
      <c r="H579" s="7">
        <v>234</v>
      </c>
    </row>
    <row r="580" spans="7:8" x14ac:dyDescent="0.3">
      <c r="G580" s="6" t="s">
        <v>760</v>
      </c>
      <c r="H580" s="7">
        <v>63</v>
      </c>
    </row>
    <row r="581" spans="7:8" x14ac:dyDescent="0.3">
      <c r="G581" s="6" t="s">
        <v>759</v>
      </c>
      <c r="H581" s="7">
        <v>29</v>
      </c>
    </row>
    <row r="582" spans="7:8" x14ac:dyDescent="0.3">
      <c r="G582" s="6" t="s">
        <v>758</v>
      </c>
      <c r="H582" s="7">
        <v>56</v>
      </c>
    </row>
    <row r="583" spans="7:8" x14ac:dyDescent="0.3">
      <c r="G583" s="6" t="s">
        <v>757</v>
      </c>
      <c r="H583" s="7">
        <v>1</v>
      </c>
    </row>
    <row r="584" spans="7:8" x14ac:dyDescent="0.3">
      <c r="G584" s="6" t="s">
        <v>756</v>
      </c>
      <c r="H584" s="7">
        <v>3</v>
      </c>
    </row>
    <row r="585" spans="7:8" x14ac:dyDescent="0.3">
      <c r="G585" s="6" t="s">
        <v>755</v>
      </c>
      <c r="H585" s="7">
        <v>1</v>
      </c>
    </row>
    <row r="586" spans="7:8" x14ac:dyDescent="0.3">
      <c r="G586" s="6" t="s">
        <v>754</v>
      </c>
      <c r="H586" s="7">
        <v>5</v>
      </c>
    </row>
    <row r="587" spans="7:8" x14ac:dyDescent="0.3">
      <c r="G587" s="6" t="s">
        <v>753</v>
      </c>
      <c r="H587" s="7">
        <v>15910</v>
      </c>
    </row>
    <row r="588" spans="7:8" x14ac:dyDescent="0.3">
      <c r="G588" s="6" t="s">
        <v>752</v>
      </c>
      <c r="H588" s="7">
        <v>1</v>
      </c>
    </row>
    <row r="589" spans="7:8" x14ac:dyDescent="0.3">
      <c r="G589" s="6" t="s">
        <v>751</v>
      </c>
      <c r="H589" s="7">
        <v>17</v>
      </c>
    </row>
    <row r="590" spans="7:8" x14ac:dyDescent="0.3">
      <c r="G590" s="6" t="s">
        <v>750</v>
      </c>
      <c r="H590" s="7">
        <v>561</v>
      </c>
    </row>
    <row r="591" spans="7:8" x14ac:dyDescent="0.3">
      <c r="G591" s="6" t="s">
        <v>749</v>
      </c>
      <c r="H591" s="7">
        <v>4435</v>
      </c>
    </row>
    <row r="592" spans="7:8" x14ac:dyDescent="0.3">
      <c r="G592" s="6" t="s">
        <v>748</v>
      </c>
      <c r="H592" s="7">
        <v>3967</v>
      </c>
    </row>
    <row r="593" spans="7:8" x14ac:dyDescent="0.3">
      <c r="G593" s="6" t="s">
        <v>747</v>
      </c>
      <c r="H593" s="7">
        <v>2</v>
      </c>
    </row>
    <row r="594" spans="7:8" x14ac:dyDescent="0.3">
      <c r="G594" s="6" t="s">
        <v>746</v>
      </c>
      <c r="H594" s="7">
        <v>396</v>
      </c>
    </row>
    <row r="595" spans="7:8" x14ac:dyDescent="0.3">
      <c r="G595" s="6" t="s">
        <v>745</v>
      </c>
      <c r="H595" s="7">
        <v>17</v>
      </c>
    </row>
    <row r="596" spans="7:8" x14ac:dyDescent="0.3">
      <c r="G596" s="6" t="s">
        <v>744</v>
      </c>
      <c r="H596" s="7">
        <v>385</v>
      </c>
    </row>
    <row r="597" spans="7:8" x14ac:dyDescent="0.3">
      <c r="G597" s="6" t="s">
        <v>743</v>
      </c>
      <c r="H597" s="7">
        <v>126</v>
      </c>
    </row>
    <row r="598" spans="7:8" x14ac:dyDescent="0.3">
      <c r="G598" s="6" t="s">
        <v>742</v>
      </c>
      <c r="H598" s="7">
        <v>9</v>
      </c>
    </row>
    <row r="599" spans="7:8" x14ac:dyDescent="0.3">
      <c r="G599" s="6" t="s">
        <v>741</v>
      </c>
      <c r="H599" s="7">
        <v>448</v>
      </c>
    </row>
    <row r="600" spans="7:8" x14ac:dyDescent="0.3">
      <c r="G600" s="6" t="s">
        <v>740</v>
      </c>
      <c r="H600" s="7">
        <v>418</v>
      </c>
    </row>
    <row r="601" spans="7:8" x14ac:dyDescent="0.3">
      <c r="G601" s="6" t="s">
        <v>739</v>
      </c>
      <c r="H601" s="7">
        <v>1368</v>
      </c>
    </row>
    <row r="602" spans="7:8" x14ac:dyDescent="0.3">
      <c r="G602" s="6" t="s">
        <v>738</v>
      </c>
      <c r="H602" s="7">
        <v>6533</v>
      </c>
    </row>
    <row r="603" spans="7:8" x14ac:dyDescent="0.3">
      <c r="G603" s="6" t="s">
        <v>737</v>
      </c>
      <c r="H603" s="7">
        <v>21</v>
      </c>
    </row>
    <row r="604" spans="7:8" x14ac:dyDescent="0.3">
      <c r="G604" s="6" t="s">
        <v>736</v>
      </c>
      <c r="H604" s="7">
        <v>12</v>
      </c>
    </row>
    <row r="605" spans="7:8" x14ac:dyDescent="0.3">
      <c r="G605" s="6" t="s">
        <v>735</v>
      </c>
      <c r="H605" s="7">
        <v>3</v>
      </c>
    </row>
    <row r="606" spans="7:8" x14ac:dyDescent="0.3">
      <c r="G606" s="6" t="s">
        <v>734</v>
      </c>
      <c r="H606" s="7">
        <v>73</v>
      </c>
    </row>
    <row r="607" spans="7:8" x14ac:dyDescent="0.3">
      <c r="G607" s="6" t="s">
        <v>733</v>
      </c>
      <c r="H607" s="7">
        <v>11</v>
      </c>
    </row>
    <row r="608" spans="7:8" x14ac:dyDescent="0.3">
      <c r="G608" s="6" t="s">
        <v>732</v>
      </c>
      <c r="H608" s="7">
        <v>194</v>
      </c>
    </row>
    <row r="609" spans="7:8" x14ac:dyDescent="0.3">
      <c r="G609" s="6" t="s">
        <v>731</v>
      </c>
      <c r="H609" s="7">
        <v>2</v>
      </c>
    </row>
    <row r="610" spans="7:8" x14ac:dyDescent="0.3">
      <c r="G610" s="6" t="s">
        <v>730</v>
      </c>
      <c r="H610" s="7">
        <v>50</v>
      </c>
    </row>
    <row r="611" spans="7:8" x14ac:dyDescent="0.3">
      <c r="G611" s="6" t="s">
        <v>729</v>
      </c>
      <c r="H611" s="7">
        <v>17</v>
      </c>
    </row>
    <row r="612" spans="7:8" x14ac:dyDescent="0.3">
      <c r="G612" s="6" t="s">
        <v>728</v>
      </c>
      <c r="H612" s="7">
        <v>27821</v>
      </c>
    </row>
    <row r="613" spans="7:8" x14ac:dyDescent="0.3">
      <c r="G613" s="6" t="s">
        <v>727</v>
      </c>
      <c r="H613" s="7">
        <v>87</v>
      </c>
    </row>
    <row r="614" spans="7:8" x14ac:dyDescent="0.3">
      <c r="G614" s="6" t="s">
        <v>726</v>
      </c>
      <c r="H614" s="7">
        <v>1919</v>
      </c>
    </row>
    <row r="615" spans="7:8" x14ac:dyDescent="0.3">
      <c r="G615" s="6" t="s">
        <v>725</v>
      </c>
      <c r="H615" s="7">
        <v>63</v>
      </c>
    </row>
    <row r="616" spans="7:8" x14ac:dyDescent="0.3">
      <c r="G616" s="6" t="s">
        <v>724</v>
      </c>
      <c r="H616" s="7">
        <v>4</v>
      </c>
    </row>
    <row r="617" spans="7:8" x14ac:dyDescent="0.3">
      <c r="G617" s="6" t="s">
        <v>723</v>
      </c>
      <c r="H617" s="7">
        <v>45</v>
      </c>
    </row>
    <row r="618" spans="7:8" x14ac:dyDescent="0.3">
      <c r="G618" s="6" t="s">
        <v>722</v>
      </c>
      <c r="H618" s="7">
        <v>35</v>
      </c>
    </row>
    <row r="619" spans="7:8" x14ac:dyDescent="0.3">
      <c r="G619" s="6" t="s">
        <v>721</v>
      </c>
      <c r="H619" s="7">
        <v>564</v>
      </c>
    </row>
    <row r="620" spans="7:8" x14ac:dyDescent="0.3">
      <c r="G620" s="6" t="s">
        <v>720</v>
      </c>
      <c r="H620" s="7">
        <v>15</v>
      </c>
    </row>
    <row r="621" spans="7:8" x14ac:dyDescent="0.3">
      <c r="G621" s="6" t="s">
        <v>719</v>
      </c>
      <c r="H621" s="7">
        <v>8</v>
      </c>
    </row>
    <row r="622" spans="7:8" x14ac:dyDescent="0.3">
      <c r="G622" s="6" t="s">
        <v>718</v>
      </c>
      <c r="H622" s="7">
        <v>1</v>
      </c>
    </row>
    <row r="623" spans="7:8" x14ac:dyDescent="0.3">
      <c r="G623" s="6" t="s">
        <v>717</v>
      </c>
      <c r="H623" s="7">
        <v>776</v>
      </c>
    </row>
    <row r="624" spans="7:8" x14ac:dyDescent="0.3">
      <c r="G624" s="6" t="s">
        <v>716</v>
      </c>
      <c r="H624" s="7">
        <v>259</v>
      </c>
    </row>
    <row r="625" spans="7:8" x14ac:dyDescent="0.3">
      <c r="G625" s="6" t="s">
        <v>715</v>
      </c>
      <c r="H625" s="7">
        <v>4</v>
      </c>
    </row>
    <row r="626" spans="7:8" x14ac:dyDescent="0.3">
      <c r="G626" s="6" t="s">
        <v>714</v>
      </c>
      <c r="H626" s="7">
        <v>5200</v>
      </c>
    </row>
    <row r="627" spans="7:8" x14ac:dyDescent="0.3">
      <c r="G627" s="6" t="s">
        <v>713</v>
      </c>
      <c r="H627" s="7">
        <v>2812</v>
      </c>
    </row>
    <row r="628" spans="7:8" x14ac:dyDescent="0.3">
      <c r="G628" s="6" t="s">
        <v>712</v>
      </c>
      <c r="H628" s="7">
        <v>1</v>
      </c>
    </row>
    <row r="629" spans="7:8" x14ac:dyDescent="0.3">
      <c r="G629" s="6" t="s">
        <v>711</v>
      </c>
      <c r="H629" s="7">
        <v>1</v>
      </c>
    </row>
    <row r="630" spans="7:8" x14ac:dyDescent="0.3">
      <c r="G630" s="6" t="s">
        <v>710</v>
      </c>
      <c r="H630" s="7">
        <v>905</v>
      </c>
    </row>
    <row r="631" spans="7:8" x14ac:dyDescent="0.3">
      <c r="G631" s="6" t="s">
        <v>709</v>
      </c>
      <c r="H631" s="7">
        <v>151</v>
      </c>
    </row>
    <row r="632" spans="7:8" x14ac:dyDescent="0.3">
      <c r="G632" s="6" t="s">
        <v>708</v>
      </c>
      <c r="H632" s="7">
        <v>4077</v>
      </c>
    </row>
    <row r="633" spans="7:8" x14ac:dyDescent="0.3">
      <c r="G633" s="6" t="s">
        <v>707</v>
      </c>
      <c r="H633" s="7">
        <v>11</v>
      </c>
    </row>
    <row r="634" spans="7:8" x14ac:dyDescent="0.3">
      <c r="G634" s="6" t="s">
        <v>706</v>
      </c>
      <c r="H634" s="7">
        <v>1</v>
      </c>
    </row>
    <row r="635" spans="7:8" x14ac:dyDescent="0.3">
      <c r="G635" s="6" t="s">
        <v>705</v>
      </c>
      <c r="H635" s="7">
        <v>16</v>
      </c>
    </row>
    <row r="636" spans="7:8" x14ac:dyDescent="0.3">
      <c r="G636" s="6" t="s">
        <v>704</v>
      </c>
      <c r="H636" s="7">
        <v>57</v>
      </c>
    </row>
    <row r="637" spans="7:8" x14ac:dyDescent="0.3">
      <c r="G637" s="6" t="s">
        <v>703</v>
      </c>
      <c r="H637" s="7">
        <v>9</v>
      </c>
    </row>
    <row r="638" spans="7:8" x14ac:dyDescent="0.3">
      <c r="G638" s="6" t="s">
        <v>702</v>
      </c>
      <c r="H638" s="7">
        <v>122</v>
      </c>
    </row>
    <row r="639" spans="7:8" x14ac:dyDescent="0.3">
      <c r="G639" s="6" t="s">
        <v>701</v>
      </c>
      <c r="H639" s="7">
        <v>47</v>
      </c>
    </row>
    <row r="640" spans="7:8" x14ac:dyDescent="0.3">
      <c r="G640" s="6" t="s">
        <v>700</v>
      </c>
      <c r="H640" s="7">
        <v>17</v>
      </c>
    </row>
    <row r="641" spans="7:8" x14ac:dyDescent="0.3">
      <c r="G641" s="6" t="s">
        <v>699</v>
      </c>
      <c r="H641" s="7">
        <v>24</v>
      </c>
    </row>
    <row r="642" spans="7:8" x14ac:dyDescent="0.3">
      <c r="G642" s="6" t="s">
        <v>698</v>
      </c>
      <c r="H642" s="7">
        <v>11168</v>
      </c>
    </row>
    <row r="643" spans="7:8" x14ac:dyDescent="0.3">
      <c r="G643" s="6" t="s">
        <v>697</v>
      </c>
      <c r="H643" s="7">
        <v>3</v>
      </c>
    </row>
    <row r="644" spans="7:8" x14ac:dyDescent="0.3">
      <c r="G644" s="6" t="s">
        <v>696</v>
      </c>
      <c r="H644" s="7">
        <v>1427</v>
      </c>
    </row>
    <row r="645" spans="7:8" x14ac:dyDescent="0.3">
      <c r="G645" s="6" t="s">
        <v>695</v>
      </c>
      <c r="H645" s="7">
        <v>168</v>
      </c>
    </row>
    <row r="646" spans="7:8" x14ac:dyDescent="0.3">
      <c r="G646" s="6" t="s">
        <v>694</v>
      </c>
      <c r="H646" s="7">
        <v>15</v>
      </c>
    </row>
    <row r="647" spans="7:8" x14ac:dyDescent="0.3">
      <c r="G647" s="6" t="s">
        <v>693</v>
      </c>
      <c r="H647" s="7">
        <v>944</v>
      </c>
    </row>
    <row r="648" spans="7:8" x14ac:dyDescent="0.3">
      <c r="G648" s="6" t="s">
        <v>692</v>
      </c>
      <c r="H648" s="7">
        <v>3573</v>
      </c>
    </row>
    <row r="649" spans="7:8" x14ac:dyDescent="0.3">
      <c r="G649" s="6" t="s">
        <v>691</v>
      </c>
      <c r="H649" s="7">
        <v>32106</v>
      </c>
    </row>
    <row r="650" spans="7:8" x14ac:dyDescent="0.3">
      <c r="G650" s="6" t="s">
        <v>690</v>
      </c>
      <c r="H650" s="7">
        <v>825</v>
      </c>
    </row>
    <row r="651" spans="7:8" x14ac:dyDescent="0.3">
      <c r="G651" s="6" t="s">
        <v>689</v>
      </c>
      <c r="H651" s="7">
        <v>645</v>
      </c>
    </row>
    <row r="652" spans="7:8" x14ac:dyDescent="0.3">
      <c r="G652" s="6" t="s">
        <v>688</v>
      </c>
      <c r="H652" s="7">
        <v>1</v>
      </c>
    </row>
    <row r="653" spans="7:8" x14ac:dyDescent="0.3">
      <c r="G653" s="6" t="s">
        <v>687</v>
      </c>
      <c r="H653" s="7">
        <v>22263</v>
      </c>
    </row>
    <row r="654" spans="7:8" x14ac:dyDescent="0.3">
      <c r="G654" s="6" t="s">
        <v>686</v>
      </c>
      <c r="H654" s="7">
        <v>502</v>
      </c>
    </row>
    <row r="655" spans="7:8" x14ac:dyDescent="0.3">
      <c r="G655" s="6" t="s">
        <v>685</v>
      </c>
      <c r="H655" s="7">
        <v>999</v>
      </c>
    </row>
    <row r="656" spans="7:8" x14ac:dyDescent="0.3">
      <c r="G656" s="6" t="s">
        <v>684</v>
      </c>
      <c r="H656" s="7">
        <v>1016</v>
      </c>
    </row>
    <row r="657" spans="7:8" x14ac:dyDescent="0.3">
      <c r="G657" s="6" t="s">
        <v>683</v>
      </c>
      <c r="H657" s="7">
        <v>1</v>
      </c>
    </row>
    <row r="658" spans="7:8" x14ac:dyDescent="0.3">
      <c r="G658" s="6" t="s">
        <v>682</v>
      </c>
      <c r="H658" s="7">
        <v>909</v>
      </c>
    </row>
    <row r="659" spans="7:8" x14ac:dyDescent="0.3">
      <c r="G659" s="6" t="s">
        <v>681</v>
      </c>
      <c r="H659" s="7">
        <v>302</v>
      </c>
    </row>
    <row r="660" spans="7:8" x14ac:dyDescent="0.3">
      <c r="G660" s="6" t="s">
        <v>680</v>
      </c>
      <c r="H660" s="7">
        <v>4</v>
      </c>
    </row>
    <row r="661" spans="7:8" x14ac:dyDescent="0.3">
      <c r="G661" s="6" t="s">
        <v>679</v>
      </c>
      <c r="H661" s="7">
        <v>349</v>
      </c>
    </row>
    <row r="662" spans="7:8" x14ac:dyDescent="0.3">
      <c r="G662" s="6" t="s">
        <v>678</v>
      </c>
      <c r="H662" s="7">
        <v>2</v>
      </c>
    </row>
    <row r="663" spans="7:8" x14ac:dyDescent="0.3">
      <c r="G663" s="6" t="s">
        <v>677</v>
      </c>
      <c r="H663" s="7">
        <v>2</v>
      </c>
    </row>
    <row r="664" spans="7:8" x14ac:dyDescent="0.3">
      <c r="G664" s="6" t="s">
        <v>676</v>
      </c>
      <c r="H664" s="7">
        <v>4</v>
      </c>
    </row>
    <row r="665" spans="7:8" x14ac:dyDescent="0.3">
      <c r="G665" s="6" t="s">
        <v>675</v>
      </c>
      <c r="H665" s="7">
        <v>1</v>
      </c>
    </row>
    <row r="666" spans="7:8" x14ac:dyDescent="0.3">
      <c r="G666" s="6" t="s">
        <v>674</v>
      </c>
      <c r="H666" s="7">
        <v>1</v>
      </c>
    </row>
    <row r="667" spans="7:8" x14ac:dyDescent="0.3">
      <c r="G667" s="6" t="s">
        <v>673</v>
      </c>
      <c r="H667" s="7">
        <v>19</v>
      </c>
    </row>
    <row r="668" spans="7:8" x14ac:dyDescent="0.3">
      <c r="G668" s="6" t="s">
        <v>672</v>
      </c>
      <c r="H668" s="7">
        <v>6628</v>
      </c>
    </row>
    <row r="669" spans="7:8" x14ac:dyDescent="0.3">
      <c r="G669" s="6" t="s">
        <v>671</v>
      </c>
      <c r="H669" s="7">
        <v>81</v>
      </c>
    </row>
    <row r="670" spans="7:8" x14ac:dyDescent="0.3">
      <c r="G670" s="6" t="s">
        <v>670</v>
      </c>
      <c r="H670" s="7">
        <v>33</v>
      </c>
    </row>
    <row r="671" spans="7:8" x14ac:dyDescent="0.3">
      <c r="G671" s="6" t="s">
        <v>669</v>
      </c>
      <c r="H671" s="7">
        <v>275</v>
      </c>
    </row>
    <row r="672" spans="7:8" x14ac:dyDescent="0.3">
      <c r="G672" s="6" t="s">
        <v>668</v>
      </c>
      <c r="H672" s="7">
        <v>863</v>
      </c>
    </row>
    <row r="673" spans="7:8" x14ac:dyDescent="0.3">
      <c r="G673" s="6" t="s">
        <v>667</v>
      </c>
      <c r="H673" s="7">
        <v>817</v>
      </c>
    </row>
    <row r="674" spans="7:8" x14ac:dyDescent="0.3">
      <c r="G674" s="6" t="s">
        <v>666</v>
      </c>
      <c r="H674" s="7">
        <v>35</v>
      </c>
    </row>
    <row r="675" spans="7:8" x14ac:dyDescent="0.3">
      <c r="G675" s="6" t="s">
        <v>665</v>
      </c>
      <c r="H675" s="7">
        <v>170</v>
      </c>
    </row>
    <row r="676" spans="7:8" x14ac:dyDescent="0.3">
      <c r="G676" s="6" t="s">
        <v>664</v>
      </c>
      <c r="H676" s="7">
        <v>93</v>
      </c>
    </row>
    <row r="677" spans="7:8" x14ac:dyDescent="0.3">
      <c r="G677" s="6" t="s">
        <v>663</v>
      </c>
      <c r="H677" s="7">
        <v>28</v>
      </c>
    </row>
    <row r="678" spans="7:8" x14ac:dyDescent="0.3">
      <c r="G678" s="6" t="s">
        <v>662</v>
      </c>
      <c r="H678" s="7">
        <v>3</v>
      </c>
    </row>
    <row r="679" spans="7:8" x14ac:dyDescent="0.3">
      <c r="G679" s="6" t="s">
        <v>661</v>
      </c>
      <c r="H679" s="7">
        <v>7</v>
      </c>
    </row>
    <row r="680" spans="7:8" x14ac:dyDescent="0.3">
      <c r="G680" s="6" t="s">
        <v>660</v>
      </c>
      <c r="H680" s="7">
        <v>63</v>
      </c>
    </row>
    <row r="681" spans="7:8" x14ac:dyDescent="0.3">
      <c r="G681" s="6" t="s">
        <v>659</v>
      </c>
      <c r="H681" s="7">
        <v>17</v>
      </c>
    </row>
    <row r="682" spans="7:8" x14ac:dyDescent="0.3">
      <c r="G682" s="6" t="s">
        <v>658</v>
      </c>
      <c r="H682" s="7">
        <v>12</v>
      </c>
    </row>
    <row r="683" spans="7:8" x14ac:dyDescent="0.3">
      <c r="G683" s="6" t="s">
        <v>657</v>
      </c>
      <c r="H683" s="7">
        <v>1183</v>
      </c>
    </row>
    <row r="684" spans="7:8" x14ac:dyDescent="0.3">
      <c r="G684" s="6" t="s">
        <v>656</v>
      </c>
      <c r="H684" s="7">
        <v>304</v>
      </c>
    </row>
    <row r="685" spans="7:8" x14ac:dyDescent="0.3">
      <c r="G685" s="6" t="s">
        <v>655</v>
      </c>
      <c r="H685" s="7">
        <v>124</v>
      </c>
    </row>
    <row r="686" spans="7:8" x14ac:dyDescent="0.3">
      <c r="G686" s="6" t="s">
        <v>654</v>
      </c>
      <c r="H686" s="7">
        <v>8</v>
      </c>
    </row>
    <row r="687" spans="7:8" x14ac:dyDescent="0.3">
      <c r="G687" s="6" t="s">
        <v>653</v>
      </c>
      <c r="H687" s="7">
        <v>922</v>
      </c>
    </row>
    <row r="688" spans="7:8" x14ac:dyDescent="0.3">
      <c r="G688" s="6" t="s">
        <v>652</v>
      </c>
      <c r="H688" s="7">
        <v>1</v>
      </c>
    </row>
    <row r="689" spans="7:8" x14ac:dyDescent="0.3">
      <c r="G689" s="6" t="s">
        <v>651</v>
      </c>
      <c r="H689" s="7">
        <v>412</v>
      </c>
    </row>
    <row r="690" spans="7:8" x14ac:dyDescent="0.3">
      <c r="G690" s="6" t="s">
        <v>650</v>
      </c>
      <c r="H690" s="7">
        <v>2</v>
      </c>
    </row>
    <row r="691" spans="7:8" x14ac:dyDescent="0.3">
      <c r="G691" s="6" t="s">
        <v>649</v>
      </c>
      <c r="H691" s="7">
        <v>45</v>
      </c>
    </row>
    <row r="692" spans="7:8" x14ac:dyDescent="0.3">
      <c r="G692" s="6" t="s">
        <v>648</v>
      </c>
      <c r="H692" s="7">
        <v>52</v>
      </c>
    </row>
    <row r="693" spans="7:8" x14ac:dyDescent="0.3">
      <c r="G693" s="6" t="s">
        <v>647</v>
      </c>
      <c r="H693" s="7">
        <v>351</v>
      </c>
    </row>
    <row r="694" spans="7:8" x14ac:dyDescent="0.3">
      <c r="G694" s="6" t="s">
        <v>646</v>
      </c>
      <c r="H694" s="7">
        <v>98</v>
      </c>
    </row>
    <row r="695" spans="7:8" x14ac:dyDescent="0.3">
      <c r="G695" s="6" t="s">
        <v>645</v>
      </c>
      <c r="H695" s="7">
        <v>5</v>
      </c>
    </row>
    <row r="696" spans="7:8" x14ac:dyDescent="0.3">
      <c r="G696" s="6" t="s">
        <v>644</v>
      </c>
      <c r="H696" s="7">
        <v>2729</v>
      </c>
    </row>
    <row r="697" spans="7:8" x14ac:dyDescent="0.3">
      <c r="G697" s="6" t="s">
        <v>643</v>
      </c>
      <c r="H697" s="7">
        <v>26</v>
      </c>
    </row>
    <row r="698" spans="7:8" x14ac:dyDescent="0.3">
      <c r="G698" s="6" t="s">
        <v>642</v>
      </c>
      <c r="H698" s="7">
        <v>6</v>
      </c>
    </row>
    <row r="699" spans="7:8" x14ac:dyDescent="0.3">
      <c r="G699" s="6" t="s">
        <v>641</v>
      </c>
      <c r="H699" s="7">
        <v>2460</v>
      </c>
    </row>
    <row r="700" spans="7:8" x14ac:dyDescent="0.3">
      <c r="G700" s="6" t="s">
        <v>640</v>
      </c>
      <c r="H700" s="7">
        <v>2492</v>
      </c>
    </row>
    <row r="701" spans="7:8" x14ac:dyDescent="0.3">
      <c r="G701" s="6" t="s">
        <v>639</v>
      </c>
      <c r="H701" s="7">
        <v>15543</v>
      </c>
    </row>
    <row r="702" spans="7:8" x14ac:dyDescent="0.3">
      <c r="G702" s="6" t="s">
        <v>638</v>
      </c>
      <c r="H702" s="7">
        <v>43</v>
      </c>
    </row>
    <row r="703" spans="7:8" x14ac:dyDescent="0.3">
      <c r="G703" s="6" t="s">
        <v>637</v>
      </c>
      <c r="H703" s="7">
        <v>1240</v>
      </c>
    </row>
    <row r="704" spans="7:8" x14ac:dyDescent="0.3">
      <c r="G704" s="6" t="s">
        <v>636</v>
      </c>
      <c r="H704" s="7">
        <v>1416</v>
      </c>
    </row>
    <row r="705" spans="7:8" x14ac:dyDescent="0.3">
      <c r="G705" s="6" t="s">
        <v>635</v>
      </c>
      <c r="H705" s="7">
        <v>139</v>
      </c>
    </row>
    <row r="706" spans="7:8" x14ac:dyDescent="0.3">
      <c r="G706" s="6" t="s">
        <v>634</v>
      </c>
      <c r="H706" s="7">
        <v>17</v>
      </c>
    </row>
    <row r="707" spans="7:8" x14ac:dyDescent="0.3">
      <c r="G707" s="6" t="s">
        <v>633</v>
      </c>
      <c r="H707" s="7">
        <v>13</v>
      </c>
    </row>
    <row r="708" spans="7:8" x14ac:dyDescent="0.3">
      <c r="G708" s="6" t="s">
        <v>632</v>
      </c>
      <c r="H708" s="7">
        <v>26</v>
      </c>
    </row>
    <row r="709" spans="7:8" x14ac:dyDescent="0.3">
      <c r="G709" s="6" t="s">
        <v>631</v>
      </c>
      <c r="H709" s="7">
        <v>7</v>
      </c>
    </row>
    <row r="710" spans="7:8" x14ac:dyDescent="0.3">
      <c r="G710" s="6" t="s">
        <v>630</v>
      </c>
      <c r="H710" s="7">
        <v>41</v>
      </c>
    </row>
    <row r="711" spans="7:8" x14ac:dyDescent="0.3">
      <c r="G711" s="6" t="s">
        <v>629</v>
      </c>
      <c r="H711" s="7">
        <v>1</v>
      </c>
    </row>
    <row r="712" spans="7:8" x14ac:dyDescent="0.3">
      <c r="G712" s="6" t="s">
        <v>628</v>
      </c>
      <c r="H712" s="7">
        <v>60</v>
      </c>
    </row>
    <row r="713" spans="7:8" x14ac:dyDescent="0.3">
      <c r="G713" s="6" t="s">
        <v>627</v>
      </c>
      <c r="H713" s="7">
        <v>46</v>
      </c>
    </row>
    <row r="714" spans="7:8" x14ac:dyDescent="0.3">
      <c r="G714" s="6" t="s">
        <v>626</v>
      </c>
      <c r="H714" s="7">
        <v>2</v>
      </c>
    </row>
    <row r="715" spans="7:8" x14ac:dyDescent="0.3">
      <c r="G715" s="6" t="s">
        <v>625</v>
      </c>
      <c r="H715" s="7">
        <v>27</v>
      </c>
    </row>
    <row r="716" spans="7:8" x14ac:dyDescent="0.3">
      <c r="G716" s="6" t="s">
        <v>624</v>
      </c>
      <c r="H716" s="7">
        <v>15</v>
      </c>
    </row>
    <row r="717" spans="7:8" x14ac:dyDescent="0.3">
      <c r="G717" s="6" t="s">
        <v>623</v>
      </c>
      <c r="H717" s="7">
        <v>498</v>
      </c>
    </row>
    <row r="718" spans="7:8" x14ac:dyDescent="0.3">
      <c r="G718" s="6" t="s">
        <v>622</v>
      </c>
      <c r="H718" s="7">
        <v>48</v>
      </c>
    </row>
    <row r="719" spans="7:8" x14ac:dyDescent="0.3">
      <c r="G719" s="6" t="s">
        <v>621</v>
      </c>
      <c r="H719" s="7">
        <v>1127</v>
      </c>
    </row>
    <row r="720" spans="7:8" x14ac:dyDescent="0.3">
      <c r="G720" s="6" t="s">
        <v>620</v>
      </c>
      <c r="H720" s="7">
        <v>3</v>
      </c>
    </row>
    <row r="721" spans="7:8" x14ac:dyDescent="0.3">
      <c r="G721" s="6" t="s">
        <v>619</v>
      </c>
      <c r="H721" s="7">
        <v>1</v>
      </c>
    </row>
    <row r="722" spans="7:8" x14ac:dyDescent="0.3">
      <c r="G722" s="6" t="s">
        <v>618</v>
      </c>
      <c r="H722" s="7">
        <v>1</v>
      </c>
    </row>
    <row r="723" spans="7:8" x14ac:dyDescent="0.3">
      <c r="G723" s="6" t="s">
        <v>617</v>
      </c>
      <c r="H723" s="7">
        <v>46</v>
      </c>
    </row>
    <row r="724" spans="7:8" x14ac:dyDescent="0.3">
      <c r="G724" s="6" t="s">
        <v>616</v>
      </c>
      <c r="H724" s="7">
        <v>5</v>
      </c>
    </row>
    <row r="725" spans="7:8" x14ac:dyDescent="0.3">
      <c r="G725" s="6" t="s">
        <v>615</v>
      </c>
      <c r="H725" s="7">
        <v>110</v>
      </c>
    </row>
    <row r="726" spans="7:8" x14ac:dyDescent="0.3">
      <c r="G726" s="6" t="s">
        <v>614</v>
      </c>
      <c r="H726" s="7">
        <v>469</v>
      </c>
    </row>
    <row r="727" spans="7:8" x14ac:dyDescent="0.3">
      <c r="G727" s="6" t="s">
        <v>613</v>
      </c>
      <c r="H727" s="7">
        <v>5</v>
      </c>
    </row>
    <row r="728" spans="7:8" x14ac:dyDescent="0.3">
      <c r="G728" s="6" t="s">
        <v>612</v>
      </c>
      <c r="H728" s="7">
        <v>1</v>
      </c>
    </row>
    <row r="729" spans="7:8" x14ac:dyDescent="0.3">
      <c r="G729" s="6" t="s">
        <v>611</v>
      </c>
      <c r="H729" s="7">
        <v>26</v>
      </c>
    </row>
    <row r="730" spans="7:8" x14ac:dyDescent="0.3">
      <c r="G730" s="6" t="s">
        <v>610</v>
      </c>
      <c r="H730" s="7">
        <v>1</v>
      </c>
    </row>
    <row r="731" spans="7:8" x14ac:dyDescent="0.3">
      <c r="G731" s="6" t="s">
        <v>609</v>
      </c>
      <c r="H731" s="7">
        <v>153</v>
      </c>
    </row>
    <row r="732" spans="7:8" x14ac:dyDescent="0.3">
      <c r="G732" s="6" t="s">
        <v>608</v>
      </c>
      <c r="H732" s="7">
        <v>1</v>
      </c>
    </row>
    <row r="733" spans="7:8" x14ac:dyDescent="0.3">
      <c r="G733" s="6" t="s">
        <v>607</v>
      </c>
      <c r="H733" s="7">
        <v>40</v>
      </c>
    </row>
    <row r="734" spans="7:8" x14ac:dyDescent="0.3">
      <c r="G734" s="6" t="s">
        <v>606</v>
      </c>
      <c r="H734" s="7">
        <v>4543</v>
      </c>
    </row>
    <row r="735" spans="7:8" x14ac:dyDescent="0.3">
      <c r="G735" s="6" t="s">
        <v>605</v>
      </c>
      <c r="H735" s="7">
        <v>8</v>
      </c>
    </row>
    <row r="736" spans="7:8" x14ac:dyDescent="0.3">
      <c r="G736" s="6" t="s">
        <v>604</v>
      </c>
      <c r="H736" s="7">
        <v>1287</v>
      </c>
    </row>
    <row r="737" spans="7:8" x14ac:dyDescent="0.3">
      <c r="G737" s="6" t="s">
        <v>603</v>
      </c>
      <c r="H737" s="7">
        <v>446</v>
      </c>
    </row>
    <row r="738" spans="7:8" x14ac:dyDescent="0.3">
      <c r="G738" s="6" t="s">
        <v>602</v>
      </c>
      <c r="H738" s="7">
        <v>1861</v>
      </c>
    </row>
    <row r="739" spans="7:8" x14ac:dyDescent="0.3">
      <c r="G739" s="6" t="s">
        <v>601</v>
      </c>
      <c r="H739" s="7">
        <v>273</v>
      </c>
    </row>
    <row r="740" spans="7:8" x14ac:dyDescent="0.3">
      <c r="G740" s="6" t="s">
        <v>600</v>
      </c>
      <c r="H740" s="7">
        <v>1</v>
      </c>
    </row>
    <row r="741" spans="7:8" x14ac:dyDescent="0.3">
      <c r="G741" s="6" t="s">
        <v>599</v>
      </c>
      <c r="H741" s="7">
        <v>1</v>
      </c>
    </row>
    <row r="742" spans="7:8" x14ac:dyDescent="0.3">
      <c r="G742" s="6" t="s">
        <v>598</v>
      </c>
      <c r="H742" s="7">
        <v>129</v>
      </c>
    </row>
    <row r="743" spans="7:8" x14ac:dyDescent="0.3">
      <c r="G743" s="6" t="s">
        <v>597</v>
      </c>
      <c r="H743" s="7">
        <v>420</v>
      </c>
    </row>
    <row r="744" spans="7:8" x14ac:dyDescent="0.3">
      <c r="G744" s="6" t="s">
        <v>596</v>
      </c>
      <c r="H744" s="7">
        <v>6</v>
      </c>
    </row>
    <row r="745" spans="7:8" x14ac:dyDescent="0.3">
      <c r="G745" s="6" t="s">
        <v>595</v>
      </c>
      <c r="H745" s="7">
        <v>36707</v>
      </c>
    </row>
    <row r="746" spans="7:8" x14ac:dyDescent="0.3">
      <c r="G746" s="6" t="s">
        <v>594</v>
      </c>
      <c r="H746" s="7">
        <v>314</v>
      </c>
    </row>
    <row r="747" spans="7:8" x14ac:dyDescent="0.3">
      <c r="G747" s="6" t="s">
        <v>593</v>
      </c>
      <c r="H747" s="7">
        <v>2</v>
      </c>
    </row>
    <row r="748" spans="7:8" x14ac:dyDescent="0.3">
      <c r="G748" s="6" t="s">
        <v>592</v>
      </c>
      <c r="H748" s="7">
        <v>273</v>
      </c>
    </row>
    <row r="749" spans="7:8" x14ac:dyDescent="0.3">
      <c r="G749" s="6" t="s">
        <v>591</v>
      </c>
      <c r="H749" s="7">
        <v>96</v>
      </c>
    </row>
    <row r="750" spans="7:8" x14ac:dyDescent="0.3">
      <c r="G750" s="6" t="s">
        <v>590</v>
      </c>
      <c r="H750" s="7">
        <v>3449</v>
      </c>
    </row>
    <row r="751" spans="7:8" x14ac:dyDescent="0.3">
      <c r="G751" s="6" t="s">
        <v>589</v>
      </c>
      <c r="H751" s="7">
        <v>1</v>
      </c>
    </row>
    <row r="752" spans="7:8" x14ac:dyDescent="0.3">
      <c r="G752" s="6" t="s">
        <v>588</v>
      </c>
      <c r="H752" s="7">
        <v>79</v>
      </c>
    </row>
    <row r="753" spans="7:8" x14ac:dyDescent="0.3">
      <c r="G753" s="6" t="s">
        <v>587</v>
      </c>
      <c r="H753" s="7">
        <v>239</v>
      </c>
    </row>
    <row r="754" spans="7:8" x14ac:dyDescent="0.3">
      <c r="G754" s="6" t="s">
        <v>586</v>
      </c>
      <c r="H754" s="7">
        <v>178</v>
      </c>
    </row>
    <row r="755" spans="7:8" x14ac:dyDescent="0.3">
      <c r="G755" s="6" t="s">
        <v>585</v>
      </c>
      <c r="H755" s="7">
        <v>15</v>
      </c>
    </row>
    <row r="756" spans="7:8" x14ac:dyDescent="0.3">
      <c r="G756" s="6" t="s">
        <v>584</v>
      </c>
      <c r="H756" s="7">
        <v>2</v>
      </c>
    </row>
    <row r="757" spans="7:8" x14ac:dyDescent="0.3">
      <c r="G757" s="6" t="s">
        <v>583</v>
      </c>
      <c r="H757" s="7">
        <v>272</v>
      </c>
    </row>
    <row r="758" spans="7:8" x14ac:dyDescent="0.3">
      <c r="G758" s="6" t="s">
        <v>582</v>
      </c>
      <c r="H758" s="7">
        <v>18</v>
      </c>
    </row>
    <row r="759" spans="7:8" x14ac:dyDescent="0.3">
      <c r="G759" s="6" t="s">
        <v>581</v>
      </c>
      <c r="H759" s="7">
        <v>1</v>
      </c>
    </row>
    <row r="760" spans="7:8" x14ac:dyDescent="0.3">
      <c r="G760" s="6" t="s">
        <v>580</v>
      </c>
      <c r="H760" s="7">
        <v>5061</v>
      </c>
    </row>
    <row r="761" spans="7:8" x14ac:dyDescent="0.3">
      <c r="G761" s="6" t="s">
        <v>579</v>
      </c>
      <c r="H761" s="7">
        <v>116</v>
      </c>
    </row>
    <row r="762" spans="7:8" x14ac:dyDescent="0.3">
      <c r="G762" s="6" t="s">
        <v>578</v>
      </c>
      <c r="H762" s="7">
        <v>533</v>
      </c>
    </row>
    <row r="763" spans="7:8" x14ac:dyDescent="0.3">
      <c r="G763" s="6" t="s">
        <v>577</v>
      </c>
      <c r="H763" s="7">
        <v>1</v>
      </c>
    </row>
    <row r="764" spans="7:8" x14ac:dyDescent="0.3">
      <c r="G764" s="6" t="s">
        <v>576</v>
      </c>
      <c r="H764" s="7">
        <v>6</v>
      </c>
    </row>
    <row r="765" spans="7:8" x14ac:dyDescent="0.3">
      <c r="G765" s="6" t="s">
        <v>575</v>
      </c>
      <c r="H765" s="7">
        <v>3595</v>
      </c>
    </row>
    <row r="766" spans="7:8" x14ac:dyDescent="0.3">
      <c r="G766" s="6" t="s">
        <v>574</v>
      </c>
      <c r="H766" s="7">
        <v>573</v>
      </c>
    </row>
    <row r="767" spans="7:8" x14ac:dyDescent="0.3">
      <c r="G767" s="6" t="s">
        <v>573</v>
      </c>
      <c r="H767" s="7">
        <v>3984</v>
      </c>
    </row>
    <row r="768" spans="7:8" x14ac:dyDescent="0.3">
      <c r="G768" s="6" t="s">
        <v>572</v>
      </c>
      <c r="H768" s="7">
        <v>380</v>
      </c>
    </row>
    <row r="769" spans="7:8" x14ac:dyDescent="0.3">
      <c r="G769" s="6" t="s">
        <v>571</v>
      </c>
      <c r="H769" s="7">
        <v>3</v>
      </c>
    </row>
    <row r="770" spans="7:8" x14ac:dyDescent="0.3">
      <c r="G770" s="6" t="s">
        <v>570</v>
      </c>
      <c r="H770" s="7">
        <v>1696</v>
      </c>
    </row>
    <row r="771" spans="7:8" x14ac:dyDescent="0.3">
      <c r="G771" s="6" t="s">
        <v>569</v>
      </c>
      <c r="H771" s="7">
        <v>72</v>
      </c>
    </row>
    <row r="772" spans="7:8" x14ac:dyDescent="0.3">
      <c r="G772" s="6" t="s">
        <v>568</v>
      </c>
      <c r="H772" s="7">
        <v>28893</v>
      </c>
    </row>
    <row r="773" spans="7:8" x14ac:dyDescent="0.3">
      <c r="G773" s="6" t="s">
        <v>567</v>
      </c>
      <c r="H773" s="7">
        <v>1446</v>
      </c>
    </row>
    <row r="774" spans="7:8" x14ac:dyDescent="0.3">
      <c r="G774" s="6" t="s">
        <v>566</v>
      </c>
      <c r="H774" s="7">
        <v>374</v>
      </c>
    </row>
    <row r="775" spans="7:8" x14ac:dyDescent="0.3">
      <c r="G775" s="6" t="s">
        <v>565</v>
      </c>
      <c r="H775" s="7">
        <v>14893</v>
      </c>
    </row>
    <row r="776" spans="7:8" x14ac:dyDescent="0.3">
      <c r="G776" s="6" t="s">
        <v>564</v>
      </c>
      <c r="H776" s="7">
        <v>21</v>
      </c>
    </row>
    <row r="777" spans="7:8" x14ac:dyDescent="0.3">
      <c r="G777" s="6" t="s">
        <v>563</v>
      </c>
      <c r="H777" s="7">
        <v>261</v>
      </c>
    </row>
    <row r="778" spans="7:8" x14ac:dyDescent="0.3">
      <c r="G778" s="6" t="s">
        <v>562</v>
      </c>
      <c r="H778" s="7">
        <v>405</v>
      </c>
    </row>
    <row r="779" spans="7:8" x14ac:dyDescent="0.3">
      <c r="G779" s="6" t="s">
        <v>561</v>
      </c>
      <c r="H779" s="7">
        <v>343</v>
      </c>
    </row>
    <row r="780" spans="7:8" x14ac:dyDescent="0.3">
      <c r="G780" s="6" t="s">
        <v>560</v>
      </c>
      <c r="H780" s="7">
        <v>10</v>
      </c>
    </row>
    <row r="781" spans="7:8" x14ac:dyDescent="0.3">
      <c r="G781" s="6" t="s">
        <v>559</v>
      </c>
      <c r="H781" s="7">
        <v>1</v>
      </c>
    </row>
    <row r="782" spans="7:8" x14ac:dyDescent="0.3">
      <c r="G782" s="6" t="s">
        <v>558</v>
      </c>
      <c r="H782" s="7">
        <v>2</v>
      </c>
    </row>
    <row r="783" spans="7:8" x14ac:dyDescent="0.3">
      <c r="G783" s="6" t="s">
        <v>557</v>
      </c>
      <c r="H783" s="7">
        <v>364</v>
      </c>
    </row>
    <row r="784" spans="7:8" x14ac:dyDescent="0.3">
      <c r="G784" s="6" t="s">
        <v>556</v>
      </c>
      <c r="H784" s="7">
        <v>1559</v>
      </c>
    </row>
    <row r="785" spans="7:8" x14ac:dyDescent="0.3">
      <c r="G785" s="6" t="s">
        <v>555</v>
      </c>
      <c r="H785" s="7">
        <v>102</v>
      </c>
    </row>
    <row r="786" spans="7:8" x14ac:dyDescent="0.3">
      <c r="G786" s="6" t="s">
        <v>554</v>
      </c>
      <c r="H786" s="7">
        <v>43</v>
      </c>
    </row>
    <row r="787" spans="7:8" x14ac:dyDescent="0.3">
      <c r="G787" s="6" t="s">
        <v>553</v>
      </c>
      <c r="H787" s="7">
        <v>73</v>
      </c>
    </row>
    <row r="788" spans="7:8" x14ac:dyDescent="0.3">
      <c r="G788" s="6" t="s">
        <v>552</v>
      </c>
      <c r="H788" s="7">
        <v>2</v>
      </c>
    </row>
    <row r="789" spans="7:8" x14ac:dyDescent="0.3">
      <c r="G789" s="6" t="s">
        <v>551</v>
      </c>
      <c r="H789" s="7">
        <v>4055</v>
      </c>
    </row>
    <row r="790" spans="7:8" x14ac:dyDescent="0.3">
      <c r="G790" s="6" t="s">
        <v>550</v>
      </c>
      <c r="H790" s="7">
        <v>1</v>
      </c>
    </row>
    <row r="791" spans="7:8" x14ac:dyDescent="0.3">
      <c r="G791" s="6" t="s">
        <v>549</v>
      </c>
      <c r="H791" s="7">
        <v>1745</v>
      </c>
    </row>
    <row r="792" spans="7:8" x14ac:dyDescent="0.3">
      <c r="G792" s="6" t="s">
        <v>548</v>
      </c>
      <c r="H792" s="7">
        <v>1</v>
      </c>
    </row>
    <row r="793" spans="7:8" x14ac:dyDescent="0.3">
      <c r="G793" s="6" t="s">
        <v>547</v>
      </c>
      <c r="H793" s="7">
        <v>31489</v>
      </c>
    </row>
    <row r="794" spans="7:8" x14ac:dyDescent="0.3">
      <c r="G794" s="6" t="s">
        <v>546</v>
      </c>
      <c r="H794" s="7">
        <v>79</v>
      </c>
    </row>
    <row r="795" spans="7:8" x14ac:dyDescent="0.3">
      <c r="G795" s="6" t="s">
        <v>545</v>
      </c>
      <c r="H795" s="7">
        <v>201785</v>
      </c>
    </row>
    <row r="796" spans="7:8" x14ac:dyDescent="0.3">
      <c r="G796" s="6" t="s">
        <v>544</v>
      </c>
      <c r="H796" s="7">
        <v>8338</v>
      </c>
    </row>
    <row r="797" spans="7:8" x14ac:dyDescent="0.3">
      <c r="G797" s="6" t="s">
        <v>543</v>
      </c>
      <c r="H797" s="7">
        <v>108</v>
      </c>
    </row>
    <row r="798" spans="7:8" x14ac:dyDescent="0.3">
      <c r="G798" s="6" t="s">
        <v>542</v>
      </c>
      <c r="H798" s="7">
        <v>161</v>
      </c>
    </row>
    <row r="799" spans="7:8" x14ac:dyDescent="0.3">
      <c r="G799" s="6" t="s">
        <v>541</v>
      </c>
      <c r="H799" s="7">
        <v>4</v>
      </c>
    </row>
    <row r="800" spans="7:8" x14ac:dyDescent="0.3">
      <c r="G800" s="6" t="s">
        <v>540</v>
      </c>
      <c r="H800" s="7">
        <v>24</v>
      </c>
    </row>
    <row r="801" spans="7:8" x14ac:dyDescent="0.3">
      <c r="G801" s="6" t="s">
        <v>539</v>
      </c>
      <c r="H801" s="7">
        <v>4</v>
      </c>
    </row>
    <row r="802" spans="7:8" x14ac:dyDescent="0.3">
      <c r="G802" s="6" t="s">
        <v>538</v>
      </c>
      <c r="H802" s="7">
        <v>6</v>
      </c>
    </row>
    <row r="803" spans="7:8" x14ac:dyDescent="0.3">
      <c r="G803" s="6" t="s">
        <v>537</v>
      </c>
      <c r="H803" s="7">
        <v>858</v>
      </c>
    </row>
    <row r="804" spans="7:8" x14ac:dyDescent="0.3">
      <c r="G804" s="6" t="s">
        <v>536</v>
      </c>
      <c r="H804" s="7">
        <v>1</v>
      </c>
    </row>
    <row r="805" spans="7:8" x14ac:dyDescent="0.3">
      <c r="G805" s="6" t="s">
        <v>535</v>
      </c>
      <c r="H805" s="7">
        <v>76</v>
      </c>
    </row>
    <row r="806" spans="7:8" x14ac:dyDescent="0.3">
      <c r="G806" s="6" t="s">
        <v>534</v>
      </c>
      <c r="H806" s="7">
        <v>1</v>
      </c>
    </row>
    <row r="807" spans="7:8" x14ac:dyDescent="0.3">
      <c r="G807" s="6" t="s">
        <v>533</v>
      </c>
      <c r="H807" s="7">
        <v>60</v>
      </c>
    </row>
    <row r="808" spans="7:8" x14ac:dyDescent="0.3">
      <c r="G808" s="6" t="s">
        <v>532</v>
      </c>
      <c r="H808" s="7">
        <v>210</v>
      </c>
    </row>
    <row r="809" spans="7:8" x14ac:dyDescent="0.3">
      <c r="G809" s="6" t="s">
        <v>531</v>
      </c>
      <c r="H809" s="7">
        <v>5</v>
      </c>
    </row>
    <row r="810" spans="7:8" x14ac:dyDescent="0.3">
      <c r="G810" s="6" t="s">
        <v>530</v>
      </c>
      <c r="H810" s="7">
        <v>10</v>
      </c>
    </row>
    <row r="811" spans="7:8" x14ac:dyDescent="0.3">
      <c r="G811" s="6" t="s">
        <v>529</v>
      </c>
      <c r="H811" s="7">
        <v>1</v>
      </c>
    </row>
    <row r="812" spans="7:8" x14ac:dyDescent="0.3">
      <c r="G812" s="6" t="s">
        <v>528</v>
      </c>
      <c r="H812" s="7">
        <v>16</v>
      </c>
    </row>
    <row r="813" spans="7:8" x14ac:dyDescent="0.3">
      <c r="G813" s="6" t="s">
        <v>527</v>
      </c>
      <c r="H813" s="7">
        <v>988</v>
      </c>
    </row>
    <row r="814" spans="7:8" x14ac:dyDescent="0.3">
      <c r="G814" s="6" t="s">
        <v>526</v>
      </c>
      <c r="H814" s="7">
        <v>320</v>
      </c>
    </row>
    <row r="815" spans="7:8" x14ac:dyDescent="0.3">
      <c r="G815" s="6" t="s">
        <v>525</v>
      </c>
      <c r="H815" s="7">
        <v>11</v>
      </c>
    </row>
    <row r="816" spans="7:8" x14ac:dyDescent="0.3">
      <c r="G816" s="6" t="s">
        <v>524</v>
      </c>
      <c r="H816" s="7">
        <v>10</v>
      </c>
    </row>
    <row r="817" spans="7:8" x14ac:dyDescent="0.3">
      <c r="G817" s="6" t="s">
        <v>523</v>
      </c>
      <c r="H817" s="7">
        <v>1</v>
      </c>
    </row>
    <row r="818" spans="7:8" x14ac:dyDescent="0.3">
      <c r="G818" s="6" t="s">
        <v>522</v>
      </c>
      <c r="H818" s="7">
        <v>4</v>
      </c>
    </row>
    <row r="819" spans="7:8" x14ac:dyDescent="0.3">
      <c r="G819" s="6" t="s">
        <v>521</v>
      </c>
      <c r="H819" s="7">
        <v>5</v>
      </c>
    </row>
    <row r="820" spans="7:8" x14ac:dyDescent="0.3">
      <c r="G820" s="6" t="s">
        <v>520</v>
      </c>
      <c r="H820" s="7">
        <v>37</v>
      </c>
    </row>
    <row r="821" spans="7:8" x14ac:dyDescent="0.3">
      <c r="G821" s="6" t="s">
        <v>519</v>
      </c>
      <c r="H821" s="7">
        <v>3365</v>
      </c>
    </row>
    <row r="822" spans="7:8" x14ac:dyDescent="0.3">
      <c r="G822" s="6" t="s">
        <v>518</v>
      </c>
      <c r="H822" s="7">
        <v>83</v>
      </c>
    </row>
    <row r="823" spans="7:8" x14ac:dyDescent="0.3">
      <c r="G823" s="6" t="s">
        <v>517</v>
      </c>
      <c r="H823" s="7">
        <v>172</v>
      </c>
    </row>
    <row r="824" spans="7:8" x14ac:dyDescent="0.3">
      <c r="G824" s="6" t="s">
        <v>516</v>
      </c>
      <c r="H824" s="7">
        <v>117</v>
      </c>
    </row>
    <row r="825" spans="7:8" x14ac:dyDescent="0.3">
      <c r="G825" s="6" t="s">
        <v>515</v>
      </c>
      <c r="H825" s="7">
        <v>12</v>
      </c>
    </row>
    <row r="826" spans="7:8" x14ac:dyDescent="0.3">
      <c r="G826" s="6" t="s">
        <v>514</v>
      </c>
      <c r="H826" s="7">
        <v>180</v>
      </c>
    </row>
    <row r="827" spans="7:8" x14ac:dyDescent="0.3">
      <c r="G827" s="6" t="s">
        <v>513</v>
      </c>
      <c r="H827" s="7">
        <v>7</v>
      </c>
    </row>
    <row r="828" spans="7:8" x14ac:dyDescent="0.3">
      <c r="G828" s="6" t="s">
        <v>512</v>
      </c>
      <c r="H828" s="7">
        <v>437</v>
      </c>
    </row>
    <row r="829" spans="7:8" x14ac:dyDescent="0.3">
      <c r="G829" s="6" t="s">
        <v>511</v>
      </c>
      <c r="H829" s="7">
        <v>1982</v>
      </c>
    </row>
    <row r="830" spans="7:8" x14ac:dyDescent="0.3">
      <c r="G830" s="6" t="s">
        <v>510</v>
      </c>
      <c r="H830" s="7">
        <v>68</v>
      </c>
    </row>
    <row r="831" spans="7:8" x14ac:dyDescent="0.3">
      <c r="G831" s="6" t="s">
        <v>509</v>
      </c>
      <c r="H831" s="7">
        <v>569</v>
      </c>
    </row>
    <row r="832" spans="7:8" x14ac:dyDescent="0.3">
      <c r="G832" s="6" t="s">
        <v>508</v>
      </c>
      <c r="H832" s="7">
        <v>162</v>
      </c>
    </row>
    <row r="833" spans="7:8" x14ac:dyDescent="0.3">
      <c r="G833" s="6" t="s">
        <v>507</v>
      </c>
      <c r="H833" s="7">
        <v>515</v>
      </c>
    </row>
    <row r="834" spans="7:8" x14ac:dyDescent="0.3">
      <c r="G834" s="6" t="s">
        <v>506</v>
      </c>
      <c r="H834" s="7">
        <v>277</v>
      </c>
    </row>
    <row r="835" spans="7:8" x14ac:dyDescent="0.3">
      <c r="G835" s="6" t="s">
        <v>505</v>
      </c>
      <c r="H835" s="7">
        <v>2520</v>
      </c>
    </row>
    <row r="836" spans="7:8" x14ac:dyDescent="0.3">
      <c r="G836" s="6" t="s">
        <v>504</v>
      </c>
      <c r="H836" s="7">
        <v>283</v>
      </c>
    </row>
    <row r="837" spans="7:8" x14ac:dyDescent="0.3">
      <c r="G837" s="6" t="s">
        <v>503</v>
      </c>
      <c r="H837" s="7">
        <v>9</v>
      </c>
    </row>
    <row r="838" spans="7:8" x14ac:dyDescent="0.3">
      <c r="G838" s="6" t="s">
        <v>502</v>
      </c>
      <c r="H838" s="7">
        <v>42879</v>
      </c>
    </row>
    <row r="839" spans="7:8" x14ac:dyDescent="0.3">
      <c r="G839" s="6" t="s">
        <v>501</v>
      </c>
      <c r="H839" s="7">
        <v>1</v>
      </c>
    </row>
    <row r="840" spans="7:8" x14ac:dyDescent="0.3">
      <c r="G840" s="6" t="s">
        <v>500</v>
      </c>
      <c r="H840" s="7">
        <v>2</v>
      </c>
    </row>
    <row r="841" spans="7:8" x14ac:dyDescent="0.3">
      <c r="G841" s="6" t="s">
        <v>499</v>
      </c>
      <c r="H841" s="7">
        <v>12499</v>
      </c>
    </row>
    <row r="842" spans="7:8" x14ac:dyDescent="0.3">
      <c r="G842" s="6" t="s">
        <v>498</v>
      </c>
      <c r="H842" s="7">
        <v>284</v>
      </c>
    </row>
    <row r="843" spans="7:8" x14ac:dyDescent="0.3">
      <c r="G843" s="6" t="s">
        <v>497</v>
      </c>
      <c r="H843" s="7">
        <v>10839</v>
      </c>
    </row>
    <row r="844" spans="7:8" x14ac:dyDescent="0.3">
      <c r="G844" s="6" t="s">
        <v>496</v>
      </c>
      <c r="H844" s="7">
        <v>4836</v>
      </c>
    </row>
    <row r="845" spans="7:8" x14ac:dyDescent="0.3">
      <c r="G845" s="6" t="s">
        <v>495</v>
      </c>
      <c r="H845" s="7">
        <v>1</v>
      </c>
    </row>
    <row r="846" spans="7:8" x14ac:dyDescent="0.3">
      <c r="G846" s="6" t="s">
        <v>494</v>
      </c>
      <c r="H846" s="7">
        <v>169</v>
      </c>
    </row>
    <row r="847" spans="7:8" x14ac:dyDescent="0.3">
      <c r="G847" s="6" t="s">
        <v>493</v>
      </c>
      <c r="H847" s="7">
        <v>188</v>
      </c>
    </row>
    <row r="848" spans="7:8" x14ac:dyDescent="0.3">
      <c r="G848" s="6" t="s">
        <v>492</v>
      </c>
      <c r="H848" s="7">
        <v>40</v>
      </c>
    </row>
    <row r="849" spans="7:8" x14ac:dyDescent="0.3">
      <c r="G849" s="6" t="s">
        <v>491</v>
      </c>
      <c r="H849" s="7">
        <v>61</v>
      </c>
    </row>
    <row r="850" spans="7:8" x14ac:dyDescent="0.3">
      <c r="G850" s="6" t="s">
        <v>490</v>
      </c>
      <c r="H850" s="7">
        <v>2</v>
      </c>
    </row>
    <row r="851" spans="7:8" x14ac:dyDescent="0.3">
      <c r="G851" s="6" t="s">
        <v>489</v>
      </c>
      <c r="H851" s="7">
        <v>1</v>
      </c>
    </row>
    <row r="852" spans="7:8" x14ac:dyDescent="0.3">
      <c r="G852" s="6" t="s">
        <v>488</v>
      </c>
      <c r="H852" s="7">
        <v>133</v>
      </c>
    </row>
    <row r="853" spans="7:8" x14ac:dyDescent="0.3">
      <c r="G853" s="6" t="s">
        <v>487</v>
      </c>
      <c r="H853" s="7">
        <v>71</v>
      </c>
    </row>
    <row r="854" spans="7:8" x14ac:dyDescent="0.3">
      <c r="G854" s="6" t="s">
        <v>486</v>
      </c>
      <c r="H854" s="7">
        <v>4293</v>
      </c>
    </row>
    <row r="855" spans="7:8" x14ac:dyDescent="0.3">
      <c r="G855" s="6" t="s">
        <v>485</v>
      </c>
      <c r="H855" s="7">
        <v>312</v>
      </c>
    </row>
    <row r="856" spans="7:8" x14ac:dyDescent="0.3">
      <c r="G856" s="6" t="s">
        <v>484</v>
      </c>
      <c r="H856" s="7">
        <v>40</v>
      </c>
    </row>
    <row r="857" spans="7:8" x14ac:dyDescent="0.3">
      <c r="G857" s="6" t="s">
        <v>483</v>
      </c>
      <c r="H857" s="7">
        <v>389</v>
      </c>
    </row>
    <row r="858" spans="7:8" x14ac:dyDescent="0.3">
      <c r="G858" s="6" t="s">
        <v>482</v>
      </c>
      <c r="H858" s="7">
        <v>612</v>
      </c>
    </row>
    <row r="859" spans="7:8" x14ac:dyDescent="0.3">
      <c r="G859" s="6" t="s">
        <v>481</v>
      </c>
      <c r="H859" s="7">
        <v>34</v>
      </c>
    </row>
    <row r="860" spans="7:8" x14ac:dyDescent="0.3">
      <c r="G860" s="6" t="s">
        <v>480</v>
      </c>
      <c r="H860" s="7">
        <v>27</v>
      </c>
    </row>
    <row r="861" spans="7:8" x14ac:dyDescent="0.3">
      <c r="G861" s="6" t="s">
        <v>479</v>
      </c>
      <c r="H861" s="7">
        <v>3727</v>
      </c>
    </row>
    <row r="862" spans="7:8" x14ac:dyDescent="0.3">
      <c r="G862" s="6" t="s">
        <v>478</v>
      </c>
      <c r="H862" s="7">
        <v>1</v>
      </c>
    </row>
    <row r="863" spans="7:8" x14ac:dyDescent="0.3">
      <c r="G863" s="6" t="s">
        <v>477</v>
      </c>
      <c r="H863" s="7">
        <v>1</v>
      </c>
    </row>
    <row r="864" spans="7:8" x14ac:dyDescent="0.3">
      <c r="G864" s="6" t="s">
        <v>476</v>
      </c>
      <c r="H864" s="7">
        <v>4</v>
      </c>
    </row>
    <row r="865" spans="7:8" x14ac:dyDescent="0.3">
      <c r="G865" s="6" t="s">
        <v>475</v>
      </c>
      <c r="H865" s="7">
        <v>11</v>
      </c>
    </row>
    <row r="866" spans="7:8" x14ac:dyDescent="0.3">
      <c r="G866" s="6" t="s">
        <v>474</v>
      </c>
      <c r="H866" s="7">
        <v>6</v>
      </c>
    </row>
    <row r="867" spans="7:8" x14ac:dyDescent="0.3">
      <c r="G867" s="6" t="s">
        <v>473</v>
      </c>
      <c r="H867" s="7">
        <v>10</v>
      </c>
    </row>
    <row r="868" spans="7:8" x14ac:dyDescent="0.3">
      <c r="G868" s="6" t="s">
        <v>472</v>
      </c>
      <c r="H868" s="7">
        <v>5</v>
      </c>
    </row>
    <row r="869" spans="7:8" x14ac:dyDescent="0.3">
      <c r="G869" s="6" t="s">
        <v>471</v>
      </c>
      <c r="H869" s="7">
        <v>6878</v>
      </c>
    </row>
    <row r="870" spans="7:8" x14ac:dyDescent="0.3">
      <c r="G870" s="6" t="s">
        <v>470</v>
      </c>
      <c r="H870" s="7">
        <v>101</v>
      </c>
    </row>
    <row r="871" spans="7:8" x14ac:dyDescent="0.3">
      <c r="G871" s="6" t="s">
        <v>469</v>
      </c>
      <c r="H871" s="7">
        <v>39</v>
      </c>
    </row>
    <row r="872" spans="7:8" x14ac:dyDescent="0.3">
      <c r="G872" s="6" t="s">
        <v>468</v>
      </c>
      <c r="H872" s="7">
        <v>163</v>
      </c>
    </row>
    <row r="873" spans="7:8" x14ac:dyDescent="0.3">
      <c r="G873" s="6" t="s">
        <v>467</v>
      </c>
      <c r="H873" s="7">
        <v>8</v>
      </c>
    </row>
    <row r="874" spans="7:8" x14ac:dyDescent="0.3">
      <c r="G874" s="6" t="s">
        <v>466</v>
      </c>
      <c r="H874" s="7">
        <v>1</v>
      </c>
    </row>
    <row r="875" spans="7:8" x14ac:dyDescent="0.3">
      <c r="G875" s="6" t="s">
        <v>465</v>
      </c>
      <c r="H875" s="7">
        <v>207</v>
      </c>
    </row>
    <row r="876" spans="7:8" x14ac:dyDescent="0.3">
      <c r="G876" s="6" t="s">
        <v>464</v>
      </c>
      <c r="H876" s="7">
        <v>1</v>
      </c>
    </row>
    <row r="877" spans="7:8" x14ac:dyDescent="0.3">
      <c r="G877" s="6" t="s">
        <v>463</v>
      </c>
      <c r="H877" s="7">
        <v>891</v>
      </c>
    </row>
    <row r="878" spans="7:8" x14ac:dyDescent="0.3">
      <c r="G878" s="6" t="s">
        <v>462</v>
      </c>
      <c r="H878" s="7">
        <v>22111</v>
      </c>
    </row>
    <row r="879" spans="7:8" x14ac:dyDescent="0.3">
      <c r="G879" s="6" t="s">
        <v>461</v>
      </c>
      <c r="H879" s="7">
        <v>553</v>
      </c>
    </row>
    <row r="880" spans="7:8" x14ac:dyDescent="0.3">
      <c r="G880" s="6" t="s">
        <v>460</v>
      </c>
      <c r="H880" s="7">
        <v>34</v>
      </c>
    </row>
    <row r="881" spans="7:8" x14ac:dyDescent="0.3">
      <c r="G881" s="6" t="s">
        <v>459</v>
      </c>
      <c r="H881" s="7">
        <v>120</v>
      </c>
    </row>
    <row r="882" spans="7:8" x14ac:dyDescent="0.3">
      <c r="G882" s="6" t="s">
        <v>458</v>
      </c>
      <c r="H882" s="7">
        <v>4735</v>
      </c>
    </row>
    <row r="883" spans="7:8" x14ac:dyDescent="0.3">
      <c r="G883" s="6" t="s">
        <v>457</v>
      </c>
      <c r="H883" s="7">
        <v>20</v>
      </c>
    </row>
    <row r="884" spans="7:8" x14ac:dyDescent="0.3">
      <c r="G884" s="6" t="s">
        <v>456</v>
      </c>
      <c r="H884" s="7">
        <v>2</v>
      </c>
    </row>
    <row r="885" spans="7:8" x14ac:dyDescent="0.3">
      <c r="G885" s="6" t="s">
        <v>455</v>
      </c>
      <c r="H885" s="7">
        <v>78</v>
      </c>
    </row>
    <row r="886" spans="7:8" x14ac:dyDescent="0.3">
      <c r="G886" s="6" t="s">
        <v>454</v>
      </c>
      <c r="H886" s="7">
        <v>6</v>
      </c>
    </row>
    <row r="887" spans="7:8" x14ac:dyDescent="0.3">
      <c r="G887" s="6" t="s">
        <v>453</v>
      </c>
      <c r="H887" s="7">
        <v>3</v>
      </c>
    </row>
    <row r="888" spans="7:8" x14ac:dyDescent="0.3">
      <c r="G888" s="6" t="s">
        <v>452</v>
      </c>
      <c r="H888" s="7">
        <v>1</v>
      </c>
    </row>
    <row r="889" spans="7:8" x14ac:dyDescent="0.3">
      <c r="G889" s="6" t="s">
        <v>451</v>
      </c>
      <c r="H889" s="7">
        <v>331</v>
      </c>
    </row>
    <row r="890" spans="7:8" x14ac:dyDescent="0.3">
      <c r="G890" s="6" t="s">
        <v>450</v>
      </c>
      <c r="H890" s="7">
        <v>51</v>
      </c>
    </row>
    <row r="891" spans="7:8" x14ac:dyDescent="0.3">
      <c r="G891" s="6" t="s">
        <v>449</v>
      </c>
      <c r="H891" s="7">
        <v>1095</v>
      </c>
    </row>
    <row r="892" spans="7:8" x14ac:dyDescent="0.3">
      <c r="G892" s="6" t="s">
        <v>448</v>
      </c>
      <c r="H892" s="7">
        <v>169</v>
      </c>
    </row>
    <row r="893" spans="7:8" x14ac:dyDescent="0.3">
      <c r="G893" s="6" t="s">
        <v>447</v>
      </c>
      <c r="H893" s="7">
        <v>1791</v>
      </c>
    </row>
    <row r="894" spans="7:8" x14ac:dyDescent="0.3">
      <c r="G894" s="6" t="s">
        <v>446</v>
      </c>
      <c r="H894" s="7">
        <v>10</v>
      </c>
    </row>
    <row r="895" spans="7:8" x14ac:dyDescent="0.3">
      <c r="G895" s="6" t="s">
        <v>445</v>
      </c>
      <c r="H895" s="7">
        <v>872</v>
      </c>
    </row>
    <row r="896" spans="7:8" x14ac:dyDescent="0.3">
      <c r="G896" s="6" t="s">
        <v>444</v>
      </c>
      <c r="H896" s="7">
        <v>13</v>
      </c>
    </row>
    <row r="897" spans="7:8" x14ac:dyDescent="0.3">
      <c r="G897" s="6" t="s">
        <v>443</v>
      </c>
      <c r="H897" s="7">
        <v>1755</v>
      </c>
    </row>
    <row r="898" spans="7:8" x14ac:dyDescent="0.3">
      <c r="G898" s="6" t="s">
        <v>442</v>
      </c>
      <c r="H898" s="7">
        <v>2</v>
      </c>
    </row>
    <row r="899" spans="7:8" x14ac:dyDescent="0.3">
      <c r="G899" s="6" t="s">
        <v>441</v>
      </c>
      <c r="H899" s="7">
        <v>5547</v>
      </c>
    </row>
    <row r="900" spans="7:8" x14ac:dyDescent="0.3">
      <c r="G900" s="6" t="s">
        <v>440</v>
      </c>
      <c r="H900" s="7">
        <v>223</v>
      </c>
    </row>
    <row r="901" spans="7:8" x14ac:dyDescent="0.3">
      <c r="G901" s="6" t="s">
        <v>439</v>
      </c>
      <c r="H901" s="7">
        <v>825</v>
      </c>
    </row>
    <row r="902" spans="7:8" x14ac:dyDescent="0.3">
      <c r="G902" s="6" t="s">
        <v>438</v>
      </c>
      <c r="H902" s="7">
        <v>23</v>
      </c>
    </row>
    <row r="903" spans="7:8" x14ac:dyDescent="0.3">
      <c r="G903" s="6" t="s">
        <v>437</v>
      </c>
      <c r="H903" s="7">
        <v>768</v>
      </c>
    </row>
    <row r="904" spans="7:8" x14ac:dyDescent="0.3">
      <c r="G904" s="6" t="s">
        <v>436</v>
      </c>
      <c r="H904" s="7">
        <v>1</v>
      </c>
    </row>
    <row r="905" spans="7:8" x14ac:dyDescent="0.3">
      <c r="G905" s="6" t="s">
        <v>435</v>
      </c>
      <c r="H905" s="7">
        <v>398</v>
      </c>
    </row>
    <row r="906" spans="7:8" x14ac:dyDescent="0.3">
      <c r="G906" s="6" t="s">
        <v>434</v>
      </c>
      <c r="H906" s="7">
        <v>64</v>
      </c>
    </row>
    <row r="907" spans="7:8" x14ac:dyDescent="0.3">
      <c r="G907" s="6" t="s">
        <v>433</v>
      </c>
      <c r="H907" s="7">
        <v>107</v>
      </c>
    </row>
    <row r="908" spans="7:8" x14ac:dyDescent="0.3">
      <c r="G908" s="6" t="s">
        <v>432</v>
      </c>
      <c r="H908" s="7">
        <v>5732</v>
      </c>
    </row>
    <row r="909" spans="7:8" x14ac:dyDescent="0.3">
      <c r="G909" s="6" t="s">
        <v>431</v>
      </c>
      <c r="H909" s="7">
        <v>345</v>
      </c>
    </row>
    <row r="910" spans="7:8" x14ac:dyDescent="0.3">
      <c r="G910" s="6" t="s">
        <v>430</v>
      </c>
      <c r="H910" s="7">
        <v>1</v>
      </c>
    </row>
    <row r="911" spans="7:8" x14ac:dyDescent="0.3">
      <c r="G911" s="6" t="s">
        <v>429</v>
      </c>
      <c r="H911" s="7">
        <v>1</v>
      </c>
    </row>
    <row r="912" spans="7:8" x14ac:dyDescent="0.3">
      <c r="G912" s="6" t="s">
        <v>428</v>
      </c>
      <c r="H912" s="7">
        <v>447</v>
      </c>
    </row>
    <row r="913" spans="7:8" x14ac:dyDescent="0.3">
      <c r="G913" s="6" t="s">
        <v>427</v>
      </c>
      <c r="H913" s="7">
        <v>9</v>
      </c>
    </row>
    <row r="914" spans="7:8" x14ac:dyDescent="0.3">
      <c r="G914" s="6" t="s">
        <v>426</v>
      </c>
      <c r="H914" s="7">
        <v>6</v>
      </c>
    </row>
    <row r="915" spans="7:8" x14ac:dyDescent="0.3">
      <c r="G915" s="6" t="s">
        <v>425</v>
      </c>
      <c r="H915" s="7">
        <v>1</v>
      </c>
    </row>
    <row r="916" spans="7:8" x14ac:dyDescent="0.3">
      <c r="G916" s="6" t="s">
        <v>424</v>
      </c>
      <c r="H916" s="7">
        <v>105</v>
      </c>
    </row>
    <row r="917" spans="7:8" x14ac:dyDescent="0.3">
      <c r="G917" s="6" t="s">
        <v>423</v>
      </c>
      <c r="H917" s="7">
        <v>727</v>
      </c>
    </row>
    <row r="918" spans="7:8" x14ac:dyDescent="0.3">
      <c r="G918" s="6" t="s">
        <v>422</v>
      </c>
      <c r="H918" s="7">
        <v>2259</v>
      </c>
    </row>
    <row r="919" spans="7:8" x14ac:dyDescent="0.3">
      <c r="G919" s="6" t="s">
        <v>421</v>
      </c>
      <c r="H919" s="7">
        <v>15</v>
      </c>
    </row>
    <row r="920" spans="7:8" x14ac:dyDescent="0.3">
      <c r="G920" s="6" t="s">
        <v>420</v>
      </c>
      <c r="H920" s="7">
        <v>850</v>
      </c>
    </row>
    <row r="921" spans="7:8" x14ac:dyDescent="0.3">
      <c r="G921" s="6" t="s">
        <v>419</v>
      </c>
      <c r="H921" s="7">
        <v>377</v>
      </c>
    </row>
    <row r="922" spans="7:8" x14ac:dyDescent="0.3">
      <c r="G922" s="6" t="s">
        <v>418</v>
      </c>
      <c r="H922" s="7">
        <v>35821</v>
      </c>
    </row>
    <row r="923" spans="7:8" x14ac:dyDescent="0.3">
      <c r="G923" s="6" t="s">
        <v>417</v>
      </c>
      <c r="H923" s="7">
        <v>1292</v>
      </c>
    </row>
    <row r="924" spans="7:8" x14ac:dyDescent="0.3">
      <c r="G924" s="6" t="s">
        <v>416</v>
      </c>
      <c r="H924" s="7">
        <v>3</v>
      </c>
    </row>
    <row r="925" spans="7:8" x14ac:dyDescent="0.3">
      <c r="G925" s="6" t="s">
        <v>415</v>
      </c>
      <c r="H925" s="7">
        <v>1449</v>
      </c>
    </row>
    <row r="926" spans="7:8" x14ac:dyDescent="0.3">
      <c r="G926" s="6" t="s">
        <v>414</v>
      </c>
      <c r="H926" s="7">
        <v>3153</v>
      </c>
    </row>
    <row r="927" spans="7:8" x14ac:dyDescent="0.3">
      <c r="G927" s="6" t="s">
        <v>413</v>
      </c>
      <c r="H927" s="7">
        <v>2</v>
      </c>
    </row>
    <row r="928" spans="7:8" x14ac:dyDescent="0.3">
      <c r="G928" s="6" t="s">
        <v>412</v>
      </c>
      <c r="H928" s="7">
        <v>172</v>
      </c>
    </row>
    <row r="929" spans="7:8" x14ac:dyDescent="0.3">
      <c r="G929" s="6" t="s">
        <v>411</v>
      </c>
      <c r="H929" s="7">
        <v>2534</v>
      </c>
    </row>
    <row r="930" spans="7:8" x14ac:dyDescent="0.3">
      <c r="G930" s="6" t="s">
        <v>410</v>
      </c>
      <c r="H930" s="7">
        <v>2240</v>
      </c>
    </row>
    <row r="931" spans="7:8" x14ac:dyDescent="0.3">
      <c r="G931" s="6" t="s">
        <v>409</v>
      </c>
      <c r="H931" s="7">
        <v>1</v>
      </c>
    </row>
    <row r="932" spans="7:8" x14ac:dyDescent="0.3">
      <c r="G932" s="6" t="s">
        <v>408</v>
      </c>
      <c r="H932" s="7">
        <v>45</v>
      </c>
    </row>
    <row r="933" spans="7:8" x14ac:dyDescent="0.3">
      <c r="G933" s="6" t="s">
        <v>407</v>
      </c>
      <c r="H933" s="7">
        <v>479</v>
      </c>
    </row>
    <row r="934" spans="7:8" x14ac:dyDescent="0.3">
      <c r="G934" s="6" t="s">
        <v>406</v>
      </c>
      <c r="H934" s="7">
        <v>154</v>
      </c>
    </row>
    <row r="935" spans="7:8" x14ac:dyDescent="0.3">
      <c r="G935" s="6" t="s">
        <v>405</v>
      </c>
      <c r="H935" s="7">
        <v>19</v>
      </c>
    </row>
    <row r="936" spans="7:8" x14ac:dyDescent="0.3">
      <c r="G936" s="6" t="s">
        <v>404</v>
      </c>
      <c r="H936" s="7">
        <v>10</v>
      </c>
    </row>
    <row r="937" spans="7:8" x14ac:dyDescent="0.3">
      <c r="G937" s="6" t="s">
        <v>403</v>
      </c>
      <c r="H937" s="7">
        <v>1</v>
      </c>
    </row>
    <row r="938" spans="7:8" x14ac:dyDescent="0.3">
      <c r="G938" s="6" t="s">
        <v>402</v>
      </c>
      <c r="H938" s="7">
        <v>4</v>
      </c>
    </row>
    <row r="939" spans="7:8" x14ac:dyDescent="0.3">
      <c r="G939" s="6" t="s">
        <v>401</v>
      </c>
      <c r="H939" s="7">
        <v>339</v>
      </c>
    </row>
    <row r="940" spans="7:8" x14ac:dyDescent="0.3">
      <c r="G940" s="6" t="s">
        <v>400</v>
      </c>
      <c r="H940" s="7">
        <v>778</v>
      </c>
    </row>
    <row r="941" spans="7:8" x14ac:dyDescent="0.3">
      <c r="G941" s="6" t="s">
        <v>399</v>
      </c>
      <c r="H941" s="7">
        <v>64</v>
      </c>
    </row>
    <row r="942" spans="7:8" x14ac:dyDescent="0.3">
      <c r="G942" s="6" t="s">
        <v>398</v>
      </c>
      <c r="H942" s="7">
        <v>239</v>
      </c>
    </row>
    <row r="943" spans="7:8" x14ac:dyDescent="0.3">
      <c r="G943" s="6" t="s">
        <v>397</v>
      </c>
      <c r="H943" s="7">
        <v>5</v>
      </c>
    </row>
    <row r="944" spans="7:8" x14ac:dyDescent="0.3">
      <c r="G944" s="6" t="s">
        <v>396</v>
      </c>
      <c r="H944" s="7">
        <v>2</v>
      </c>
    </row>
    <row r="945" spans="7:8" x14ac:dyDescent="0.3">
      <c r="G945" s="6" t="s">
        <v>395</v>
      </c>
      <c r="H945" s="7">
        <v>34</v>
      </c>
    </row>
    <row r="946" spans="7:8" x14ac:dyDescent="0.3">
      <c r="G946" s="6" t="s">
        <v>394</v>
      </c>
      <c r="H946" s="7">
        <v>483</v>
      </c>
    </row>
    <row r="947" spans="7:8" x14ac:dyDescent="0.3">
      <c r="G947" s="6" t="s">
        <v>393</v>
      </c>
      <c r="H947" s="7">
        <v>44</v>
      </c>
    </row>
    <row r="948" spans="7:8" x14ac:dyDescent="0.3">
      <c r="G948" s="6" t="s">
        <v>392</v>
      </c>
      <c r="H948" s="7">
        <v>2855</v>
      </c>
    </row>
    <row r="949" spans="7:8" x14ac:dyDescent="0.3">
      <c r="G949" s="6" t="s">
        <v>391</v>
      </c>
      <c r="H949" s="7">
        <v>1750</v>
      </c>
    </row>
    <row r="950" spans="7:8" x14ac:dyDescent="0.3">
      <c r="G950" s="6" t="s">
        <v>390</v>
      </c>
      <c r="H950" s="7">
        <v>195</v>
      </c>
    </row>
    <row r="951" spans="7:8" x14ac:dyDescent="0.3">
      <c r="G951" s="6" t="s">
        <v>389</v>
      </c>
      <c r="H951" s="7">
        <v>34</v>
      </c>
    </row>
    <row r="952" spans="7:8" x14ac:dyDescent="0.3">
      <c r="G952" s="6" t="s">
        <v>388</v>
      </c>
      <c r="H952" s="7">
        <v>555</v>
      </c>
    </row>
    <row r="953" spans="7:8" x14ac:dyDescent="0.3">
      <c r="G953" s="6" t="s">
        <v>387</v>
      </c>
      <c r="H953" s="7">
        <v>1</v>
      </c>
    </row>
    <row r="954" spans="7:8" x14ac:dyDescent="0.3">
      <c r="G954" s="6" t="s">
        <v>386</v>
      </c>
      <c r="H954" s="7">
        <v>1</v>
      </c>
    </row>
    <row r="955" spans="7:8" x14ac:dyDescent="0.3">
      <c r="G955" s="6" t="s">
        <v>385</v>
      </c>
      <c r="H955" s="7">
        <v>3609</v>
      </c>
    </row>
    <row r="956" spans="7:8" x14ac:dyDescent="0.3">
      <c r="G956" s="6" t="s">
        <v>384</v>
      </c>
      <c r="H956" s="7">
        <v>138</v>
      </c>
    </row>
    <row r="957" spans="7:8" x14ac:dyDescent="0.3">
      <c r="G957" s="6" t="s">
        <v>383</v>
      </c>
      <c r="H957" s="7">
        <v>4458</v>
      </c>
    </row>
    <row r="958" spans="7:8" x14ac:dyDescent="0.3">
      <c r="G958" s="6" t="s">
        <v>382</v>
      </c>
      <c r="H958" s="7">
        <v>215</v>
      </c>
    </row>
    <row r="959" spans="7:8" x14ac:dyDescent="0.3">
      <c r="G959" s="6" t="s">
        <v>381</v>
      </c>
      <c r="H959" s="7">
        <v>2</v>
      </c>
    </row>
    <row r="960" spans="7:8" x14ac:dyDescent="0.3">
      <c r="G960" s="6" t="s">
        <v>380</v>
      </c>
      <c r="H960" s="7">
        <v>25</v>
      </c>
    </row>
    <row r="961" spans="7:8" x14ac:dyDescent="0.3">
      <c r="G961" s="6" t="s">
        <v>379</v>
      </c>
      <c r="H961" s="7">
        <v>20</v>
      </c>
    </row>
    <row r="962" spans="7:8" x14ac:dyDescent="0.3">
      <c r="G962" s="6" t="s">
        <v>378</v>
      </c>
      <c r="H962" s="7">
        <v>3001</v>
      </c>
    </row>
    <row r="963" spans="7:8" x14ac:dyDescent="0.3">
      <c r="G963" s="6" t="s">
        <v>377</v>
      </c>
      <c r="H963" s="7">
        <v>5</v>
      </c>
    </row>
    <row r="964" spans="7:8" x14ac:dyDescent="0.3">
      <c r="G964" s="6" t="s">
        <v>376</v>
      </c>
      <c r="H964" s="7">
        <v>1</v>
      </c>
    </row>
    <row r="965" spans="7:8" x14ac:dyDescent="0.3">
      <c r="G965" s="6" t="s">
        <v>375</v>
      </c>
      <c r="H965" s="7">
        <v>30</v>
      </c>
    </row>
    <row r="966" spans="7:8" x14ac:dyDescent="0.3">
      <c r="G966" s="6" t="s">
        <v>374</v>
      </c>
      <c r="H966" s="7">
        <v>3</v>
      </c>
    </row>
    <row r="967" spans="7:8" x14ac:dyDescent="0.3">
      <c r="G967" s="6" t="s">
        <v>373</v>
      </c>
      <c r="H967" s="7">
        <v>289</v>
      </c>
    </row>
    <row r="968" spans="7:8" x14ac:dyDescent="0.3">
      <c r="G968" s="6" t="s">
        <v>372</v>
      </c>
      <c r="H968" s="7">
        <v>35</v>
      </c>
    </row>
    <row r="969" spans="7:8" x14ac:dyDescent="0.3">
      <c r="G969" s="6" t="s">
        <v>371</v>
      </c>
      <c r="H969" s="7">
        <v>19</v>
      </c>
    </row>
    <row r="970" spans="7:8" x14ac:dyDescent="0.3">
      <c r="G970" s="6" t="s">
        <v>370</v>
      </c>
      <c r="H970" s="7">
        <v>1</v>
      </c>
    </row>
    <row r="971" spans="7:8" x14ac:dyDescent="0.3">
      <c r="G971" s="6" t="s">
        <v>369</v>
      </c>
      <c r="H971" s="7">
        <v>3242</v>
      </c>
    </row>
    <row r="972" spans="7:8" x14ac:dyDescent="0.3">
      <c r="G972" s="6" t="s">
        <v>368</v>
      </c>
      <c r="H972" s="7">
        <v>48</v>
      </c>
    </row>
    <row r="973" spans="7:8" x14ac:dyDescent="0.3">
      <c r="G973" s="6" t="s">
        <v>367</v>
      </c>
      <c r="H973" s="7">
        <v>752</v>
      </c>
    </row>
    <row r="974" spans="7:8" x14ac:dyDescent="0.3">
      <c r="G974" s="6" t="s">
        <v>366</v>
      </c>
      <c r="H974" s="7">
        <v>176</v>
      </c>
    </row>
    <row r="975" spans="7:8" x14ac:dyDescent="0.3">
      <c r="G975" s="6" t="s">
        <v>365</v>
      </c>
      <c r="H975" s="7">
        <v>69966</v>
      </c>
    </row>
    <row r="976" spans="7:8" x14ac:dyDescent="0.3">
      <c r="G976" s="6" t="s">
        <v>364</v>
      </c>
      <c r="H976" s="7">
        <v>2</v>
      </c>
    </row>
    <row r="977" spans="7:8" x14ac:dyDescent="0.3">
      <c r="G977" s="6" t="s">
        <v>363</v>
      </c>
      <c r="H977" s="7">
        <v>1</v>
      </c>
    </row>
    <row r="978" spans="7:8" x14ac:dyDescent="0.3">
      <c r="G978" s="6" t="s">
        <v>362</v>
      </c>
      <c r="H978" s="7">
        <v>1</v>
      </c>
    </row>
    <row r="979" spans="7:8" x14ac:dyDescent="0.3">
      <c r="G979" s="6" t="s">
        <v>361</v>
      </c>
      <c r="H979" s="7">
        <v>1179</v>
      </c>
    </row>
    <row r="980" spans="7:8" x14ac:dyDescent="0.3">
      <c r="G980" s="6" t="s">
        <v>360</v>
      </c>
      <c r="H980" s="7">
        <v>81</v>
      </c>
    </row>
    <row r="981" spans="7:8" x14ac:dyDescent="0.3">
      <c r="G981" s="6" t="s">
        <v>359</v>
      </c>
      <c r="H981" s="7">
        <v>1</v>
      </c>
    </row>
    <row r="982" spans="7:8" x14ac:dyDescent="0.3">
      <c r="G982" s="6" t="s">
        <v>358</v>
      </c>
      <c r="H982" s="7">
        <v>596</v>
      </c>
    </row>
    <row r="983" spans="7:8" x14ac:dyDescent="0.3">
      <c r="G983" s="6" t="s">
        <v>357</v>
      </c>
      <c r="H983" s="7">
        <v>55</v>
      </c>
    </row>
    <row r="984" spans="7:8" x14ac:dyDescent="0.3">
      <c r="G984" s="6" t="s">
        <v>356</v>
      </c>
      <c r="H984" s="7">
        <v>99</v>
      </c>
    </row>
    <row r="985" spans="7:8" x14ac:dyDescent="0.3">
      <c r="G985" s="6" t="s">
        <v>355</v>
      </c>
      <c r="H985" s="7">
        <v>11</v>
      </c>
    </row>
    <row r="986" spans="7:8" x14ac:dyDescent="0.3">
      <c r="G986" s="6" t="s">
        <v>354</v>
      </c>
      <c r="H986" s="7">
        <v>287</v>
      </c>
    </row>
    <row r="987" spans="7:8" x14ac:dyDescent="0.3">
      <c r="G987" s="6" t="s">
        <v>353</v>
      </c>
      <c r="H987" s="7">
        <v>47</v>
      </c>
    </row>
    <row r="988" spans="7:8" x14ac:dyDescent="0.3">
      <c r="G988" s="6" t="s">
        <v>352</v>
      </c>
      <c r="H988" s="7">
        <v>332</v>
      </c>
    </row>
    <row r="989" spans="7:8" x14ac:dyDescent="0.3">
      <c r="G989" s="6" t="s">
        <v>351</v>
      </c>
      <c r="H989" s="7">
        <v>8139</v>
      </c>
    </row>
    <row r="990" spans="7:8" x14ac:dyDescent="0.3">
      <c r="G990" s="6" t="s">
        <v>350</v>
      </c>
      <c r="H990" s="7">
        <v>1</v>
      </c>
    </row>
    <row r="991" spans="7:8" x14ac:dyDescent="0.3">
      <c r="G991" s="6" t="s">
        <v>349</v>
      </c>
      <c r="H991" s="7">
        <v>1</v>
      </c>
    </row>
    <row r="992" spans="7:8" x14ac:dyDescent="0.3">
      <c r="G992" s="6" t="s">
        <v>348</v>
      </c>
      <c r="H992" s="7">
        <v>98</v>
      </c>
    </row>
    <row r="993" spans="7:8" x14ac:dyDescent="0.3">
      <c r="G993" s="6" t="s">
        <v>347</v>
      </c>
      <c r="H993" s="7">
        <v>3909</v>
      </c>
    </row>
    <row r="994" spans="7:8" x14ac:dyDescent="0.3">
      <c r="G994" s="6" t="s">
        <v>346</v>
      </c>
      <c r="H994" s="7">
        <v>1114</v>
      </c>
    </row>
    <row r="995" spans="7:8" x14ac:dyDescent="0.3">
      <c r="G995" s="6" t="s">
        <v>345</v>
      </c>
      <c r="H995" s="7">
        <v>3798</v>
      </c>
    </row>
    <row r="996" spans="7:8" x14ac:dyDescent="0.3">
      <c r="G996" s="6" t="s">
        <v>344</v>
      </c>
      <c r="H996" s="7">
        <v>597</v>
      </c>
    </row>
    <row r="997" spans="7:8" x14ac:dyDescent="0.3">
      <c r="G997" s="6" t="s">
        <v>343</v>
      </c>
      <c r="H997" s="7">
        <v>4</v>
      </c>
    </row>
    <row r="998" spans="7:8" x14ac:dyDescent="0.3">
      <c r="G998" s="6" t="s">
        <v>342</v>
      </c>
      <c r="H998" s="7">
        <v>457</v>
      </c>
    </row>
    <row r="999" spans="7:8" x14ac:dyDescent="0.3">
      <c r="G999" s="6" t="s">
        <v>341</v>
      </c>
      <c r="H999" s="7">
        <v>1</v>
      </c>
    </row>
    <row r="1000" spans="7:8" x14ac:dyDescent="0.3">
      <c r="G1000" s="6" t="s">
        <v>340</v>
      </c>
      <c r="H1000" s="7">
        <v>13176</v>
      </c>
    </row>
    <row r="1001" spans="7:8" x14ac:dyDescent="0.3">
      <c r="G1001" s="6" t="s">
        <v>339</v>
      </c>
      <c r="H1001" s="7">
        <v>2</v>
      </c>
    </row>
    <row r="1002" spans="7:8" x14ac:dyDescent="0.3">
      <c r="G1002" s="6" t="s">
        <v>338</v>
      </c>
      <c r="H1002" s="7">
        <v>2</v>
      </c>
    </row>
    <row r="1003" spans="7:8" x14ac:dyDescent="0.3">
      <c r="G1003" s="6" t="s">
        <v>337</v>
      </c>
      <c r="H1003" s="7">
        <v>2</v>
      </c>
    </row>
    <row r="1004" spans="7:8" x14ac:dyDescent="0.3">
      <c r="G1004" s="6" t="s">
        <v>336</v>
      </c>
      <c r="H1004" s="7">
        <v>5</v>
      </c>
    </row>
    <row r="1005" spans="7:8" x14ac:dyDescent="0.3">
      <c r="G1005" s="6" t="s">
        <v>335</v>
      </c>
      <c r="H1005" s="7">
        <v>3</v>
      </c>
    </row>
    <row r="1006" spans="7:8" x14ac:dyDescent="0.3">
      <c r="G1006" s="6" t="s">
        <v>334</v>
      </c>
      <c r="H1006" s="7">
        <v>151</v>
      </c>
    </row>
    <row r="1007" spans="7:8" x14ac:dyDescent="0.3">
      <c r="G1007" s="6" t="s">
        <v>333</v>
      </c>
      <c r="H1007" s="7">
        <v>180</v>
      </c>
    </row>
    <row r="1008" spans="7:8" x14ac:dyDescent="0.3">
      <c r="G1008" s="6" t="s">
        <v>332</v>
      </c>
      <c r="H1008" s="7">
        <v>88</v>
      </c>
    </row>
    <row r="1009" spans="7:8" x14ac:dyDescent="0.3">
      <c r="G1009" s="6" t="s">
        <v>331</v>
      </c>
      <c r="H1009" s="7">
        <v>3909</v>
      </c>
    </row>
    <row r="1010" spans="7:8" x14ac:dyDescent="0.3">
      <c r="G1010" s="6" t="s">
        <v>330</v>
      </c>
      <c r="H1010" s="7">
        <v>2</v>
      </c>
    </row>
    <row r="1011" spans="7:8" x14ac:dyDescent="0.3">
      <c r="G1011" s="6" t="s">
        <v>329</v>
      </c>
      <c r="H1011" s="7">
        <v>373</v>
      </c>
    </row>
    <row r="1012" spans="7:8" x14ac:dyDescent="0.3">
      <c r="G1012" s="6" t="s">
        <v>328</v>
      </c>
      <c r="H1012" s="7">
        <v>1</v>
      </c>
    </row>
    <row r="1013" spans="7:8" x14ac:dyDescent="0.3">
      <c r="G1013" s="6" t="s">
        <v>327</v>
      </c>
      <c r="H1013" s="7">
        <v>1</v>
      </c>
    </row>
    <row r="1014" spans="7:8" x14ac:dyDescent="0.3">
      <c r="G1014" s="6" t="s">
        <v>326</v>
      </c>
      <c r="H1014" s="7">
        <v>3892</v>
      </c>
    </row>
    <row r="1015" spans="7:8" x14ac:dyDescent="0.3">
      <c r="G1015" s="6" t="s">
        <v>325</v>
      </c>
      <c r="H1015" s="7">
        <v>150</v>
      </c>
    </row>
    <row r="1016" spans="7:8" x14ac:dyDescent="0.3">
      <c r="G1016" s="6" t="s">
        <v>324</v>
      </c>
      <c r="H1016" s="7">
        <v>3</v>
      </c>
    </row>
    <row r="1017" spans="7:8" x14ac:dyDescent="0.3">
      <c r="G1017" s="6" t="s">
        <v>323</v>
      </c>
      <c r="H1017" s="7">
        <v>1</v>
      </c>
    </row>
    <row r="1018" spans="7:8" x14ac:dyDescent="0.3">
      <c r="G1018" s="6" t="s">
        <v>322</v>
      </c>
      <c r="H1018" s="7">
        <v>23</v>
      </c>
    </row>
    <row r="1019" spans="7:8" x14ac:dyDescent="0.3">
      <c r="G1019" s="6" t="s">
        <v>321</v>
      </c>
      <c r="H1019" s="7">
        <v>10</v>
      </c>
    </row>
    <row r="1020" spans="7:8" x14ac:dyDescent="0.3">
      <c r="G1020" s="6" t="s">
        <v>320</v>
      </c>
      <c r="H1020" s="7">
        <v>289</v>
      </c>
    </row>
    <row r="1021" spans="7:8" x14ac:dyDescent="0.3">
      <c r="G1021" s="6" t="s">
        <v>319</v>
      </c>
      <c r="H1021" s="7">
        <v>6</v>
      </c>
    </row>
    <row r="1022" spans="7:8" x14ac:dyDescent="0.3">
      <c r="G1022" s="6" t="s">
        <v>318</v>
      </c>
      <c r="H1022" s="7">
        <v>4855</v>
      </c>
    </row>
    <row r="1023" spans="7:8" x14ac:dyDescent="0.3">
      <c r="G1023" s="6" t="s">
        <v>317</v>
      </c>
      <c r="H1023" s="7">
        <v>1294</v>
      </c>
    </row>
    <row r="1024" spans="7:8" x14ac:dyDescent="0.3">
      <c r="G1024" s="6" t="s">
        <v>316</v>
      </c>
      <c r="H1024" s="7">
        <v>1699</v>
      </c>
    </row>
    <row r="1025" spans="7:8" x14ac:dyDescent="0.3">
      <c r="G1025" s="6" t="s">
        <v>315</v>
      </c>
      <c r="H1025" s="7">
        <v>3</v>
      </c>
    </row>
    <row r="1026" spans="7:8" x14ac:dyDescent="0.3">
      <c r="G1026" s="6" t="s">
        <v>314</v>
      </c>
      <c r="H1026" s="7">
        <v>174</v>
      </c>
    </row>
    <row r="1027" spans="7:8" x14ac:dyDescent="0.3">
      <c r="G1027" s="6" t="s">
        <v>313</v>
      </c>
      <c r="H1027" s="7">
        <v>11</v>
      </c>
    </row>
    <row r="1028" spans="7:8" x14ac:dyDescent="0.3">
      <c r="G1028" s="6" t="s">
        <v>312</v>
      </c>
      <c r="H1028" s="7">
        <v>1166</v>
      </c>
    </row>
    <row r="1029" spans="7:8" x14ac:dyDescent="0.3">
      <c r="G1029" s="6" t="s">
        <v>311</v>
      </c>
      <c r="H1029" s="7">
        <v>37</v>
      </c>
    </row>
    <row r="1030" spans="7:8" x14ac:dyDescent="0.3">
      <c r="G1030" s="6" t="s">
        <v>310</v>
      </c>
      <c r="H1030" s="7">
        <v>53493</v>
      </c>
    </row>
    <row r="1031" spans="7:8" x14ac:dyDescent="0.3">
      <c r="G1031" s="6" t="s">
        <v>309</v>
      </c>
      <c r="H1031" s="7">
        <v>4</v>
      </c>
    </row>
    <row r="1032" spans="7:8" x14ac:dyDescent="0.3">
      <c r="G1032" s="6" t="s">
        <v>308</v>
      </c>
      <c r="H1032" s="7">
        <v>119</v>
      </c>
    </row>
    <row r="1033" spans="7:8" x14ac:dyDescent="0.3">
      <c r="G1033" s="6" t="s">
        <v>307</v>
      </c>
      <c r="H1033" s="7">
        <v>4600</v>
      </c>
    </row>
    <row r="1034" spans="7:8" x14ac:dyDescent="0.3">
      <c r="G1034" s="6" t="s">
        <v>306</v>
      </c>
      <c r="H1034" s="7">
        <v>5</v>
      </c>
    </row>
    <row r="1035" spans="7:8" x14ac:dyDescent="0.3">
      <c r="G1035" s="6" t="s">
        <v>305</v>
      </c>
      <c r="H1035" s="7">
        <v>2</v>
      </c>
    </row>
    <row r="1036" spans="7:8" x14ac:dyDescent="0.3">
      <c r="G1036" s="6" t="s">
        <v>304</v>
      </c>
      <c r="H1036" s="7">
        <v>738</v>
      </c>
    </row>
    <row r="1037" spans="7:8" x14ac:dyDescent="0.3">
      <c r="G1037" s="6" t="s">
        <v>303</v>
      </c>
      <c r="H1037" s="7">
        <v>25</v>
      </c>
    </row>
    <row r="1038" spans="7:8" x14ac:dyDescent="0.3">
      <c r="G1038" s="6" t="s">
        <v>302</v>
      </c>
      <c r="H1038" s="7">
        <v>31</v>
      </c>
    </row>
    <row r="1039" spans="7:8" x14ac:dyDescent="0.3">
      <c r="G1039" s="6" t="s">
        <v>301</v>
      </c>
      <c r="H1039" s="7">
        <v>71</v>
      </c>
    </row>
    <row r="1040" spans="7:8" x14ac:dyDescent="0.3">
      <c r="G1040" s="6" t="s">
        <v>300</v>
      </c>
      <c r="H1040" s="7">
        <v>394</v>
      </c>
    </row>
    <row r="1041" spans="7:8" x14ac:dyDescent="0.3">
      <c r="G1041" s="6" t="s">
        <v>299</v>
      </c>
      <c r="H1041" s="7">
        <v>164</v>
      </c>
    </row>
    <row r="1042" spans="7:8" x14ac:dyDescent="0.3">
      <c r="G1042" s="6" t="s">
        <v>298</v>
      </c>
      <c r="H1042" s="7">
        <v>3868</v>
      </c>
    </row>
    <row r="1043" spans="7:8" x14ac:dyDescent="0.3">
      <c r="G1043" s="6" t="s">
        <v>297</v>
      </c>
      <c r="H1043" s="7">
        <v>2</v>
      </c>
    </row>
    <row r="1044" spans="7:8" x14ac:dyDescent="0.3">
      <c r="G1044" s="6" t="s">
        <v>296</v>
      </c>
      <c r="H1044" s="7">
        <v>24</v>
      </c>
    </row>
    <row r="1045" spans="7:8" x14ac:dyDescent="0.3">
      <c r="G1045" s="6" t="s">
        <v>295</v>
      </c>
      <c r="H1045" s="7">
        <v>41</v>
      </c>
    </row>
    <row r="1046" spans="7:8" x14ac:dyDescent="0.3">
      <c r="G1046" s="6" t="s">
        <v>294</v>
      </c>
      <c r="H1046" s="7">
        <v>1</v>
      </c>
    </row>
    <row r="1047" spans="7:8" x14ac:dyDescent="0.3">
      <c r="G1047" s="6" t="s">
        <v>293</v>
      </c>
      <c r="H1047" s="7">
        <v>52</v>
      </c>
    </row>
    <row r="1048" spans="7:8" x14ac:dyDescent="0.3">
      <c r="G1048" s="6" t="s">
        <v>292</v>
      </c>
      <c r="H1048" s="7">
        <v>13443</v>
      </c>
    </row>
    <row r="1049" spans="7:8" x14ac:dyDescent="0.3">
      <c r="G1049" s="6" t="s">
        <v>291</v>
      </c>
      <c r="H1049" s="7">
        <v>9677</v>
      </c>
    </row>
    <row r="1050" spans="7:8" x14ac:dyDescent="0.3">
      <c r="G1050" s="6" t="s">
        <v>290</v>
      </c>
      <c r="H1050" s="7">
        <v>1017</v>
      </c>
    </row>
    <row r="1051" spans="7:8" x14ac:dyDescent="0.3">
      <c r="G1051" s="6" t="s">
        <v>289</v>
      </c>
      <c r="H1051" s="7">
        <v>2069</v>
      </c>
    </row>
    <row r="1052" spans="7:8" x14ac:dyDescent="0.3">
      <c r="G1052" s="6" t="s">
        <v>288</v>
      </c>
      <c r="H1052" s="7">
        <v>122</v>
      </c>
    </row>
    <row r="1053" spans="7:8" x14ac:dyDescent="0.3">
      <c r="G1053" s="6" t="s">
        <v>287</v>
      </c>
      <c r="H1053" s="7">
        <v>15</v>
      </c>
    </row>
    <row r="1054" spans="7:8" x14ac:dyDescent="0.3">
      <c r="G1054" s="6" t="s">
        <v>286</v>
      </c>
      <c r="H1054" s="7">
        <v>208</v>
      </c>
    </row>
    <row r="1055" spans="7:8" x14ac:dyDescent="0.3">
      <c r="G1055" s="6" t="s">
        <v>285</v>
      </c>
      <c r="H1055" s="7">
        <v>3729</v>
      </c>
    </row>
    <row r="1056" spans="7:8" x14ac:dyDescent="0.3">
      <c r="G1056" s="6" t="s">
        <v>284</v>
      </c>
      <c r="H1056" s="7">
        <v>4698</v>
      </c>
    </row>
    <row r="1057" spans="7:8" x14ac:dyDescent="0.3">
      <c r="G1057" s="6" t="s">
        <v>283</v>
      </c>
      <c r="H1057" s="7">
        <v>6252</v>
      </c>
    </row>
    <row r="1058" spans="7:8" x14ac:dyDescent="0.3">
      <c r="G1058" s="6" t="s">
        <v>282</v>
      </c>
      <c r="H1058" s="7">
        <v>2</v>
      </c>
    </row>
    <row r="1059" spans="7:8" x14ac:dyDescent="0.3">
      <c r="G1059" s="6" t="s">
        <v>281</v>
      </c>
      <c r="H1059" s="7">
        <v>200</v>
      </c>
    </row>
    <row r="1060" spans="7:8" x14ac:dyDescent="0.3">
      <c r="G1060" s="6" t="s">
        <v>280</v>
      </c>
      <c r="H1060" s="7">
        <v>24148</v>
      </c>
    </row>
    <row r="1061" spans="7:8" x14ac:dyDescent="0.3">
      <c r="G1061" s="6" t="s">
        <v>279</v>
      </c>
      <c r="H1061" s="7">
        <v>72</v>
      </c>
    </row>
    <row r="1062" spans="7:8" x14ac:dyDescent="0.3">
      <c r="G1062" s="6" t="s">
        <v>278</v>
      </c>
      <c r="H1062" s="7">
        <v>841</v>
      </c>
    </row>
    <row r="1063" spans="7:8" x14ac:dyDescent="0.3">
      <c r="G1063" s="6" t="s">
        <v>277</v>
      </c>
      <c r="H1063" s="7">
        <v>30985</v>
      </c>
    </row>
    <row r="1064" spans="7:8" x14ac:dyDescent="0.3">
      <c r="G1064" s="6" t="s">
        <v>276</v>
      </c>
      <c r="H1064" s="7">
        <v>1</v>
      </c>
    </row>
    <row r="1065" spans="7:8" x14ac:dyDescent="0.3">
      <c r="G1065" s="6" t="s">
        <v>275</v>
      </c>
      <c r="H1065" s="7">
        <v>1236</v>
      </c>
    </row>
    <row r="1066" spans="7:8" x14ac:dyDescent="0.3">
      <c r="G1066" s="6" t="s">
        <v>274</v>
      </c>
      <c r="H1066" s="7">
        <v>21862</v>
      </c>
    </row>
    <row r="1067" spans="7:8" x14ac:dyDescent="0.3">
      <c r="G1067" s="6" t="s">
        <v>273</v>
      </c>
      <c r="H1067" s="7">
        <v>1</v>
      </c>
    </row>
    <row r="1068" spans="7:8" x14ac:dyDescent="0.3">
      <c r="G1068" s="6" t="s">
        <v>272</v>
      </c>
      <c r="H1068" s="7">
        <v>1752</v>
      </c>
    </row>
    <row r="1069" spans="7:8" x14ac:dyDescent="0.3">
      <c r="G1069" s="6" t="s">
        <v>271</v>
      </c>
      <c r="H1069" s="7">
        <v>6491</v>
      </c>
    </row>
    <row r="1070" spans="7:8" x14ac:dyDescent="0.3">
      <c r="G1070" s="6" t="s">
        <v>270</v>
      </c>
      <c r="H1070" s="7">
        <v>2021</v>
      </c>
    </row>
    <row r="1071" spans="7:8" x14ac:dyDescent="0.3">
      <c r="G1071" s="6" t="s">
        <v>269</v>
      </c>
      <c r="H1071" s="7">
        <v>1</v>
      </c>
    </row>
    <row r="1072" spans="7:8" x14ac:dyDescent="0.3">
      <c r="G1072" s="6" t="s">
        <v>268</v>
      </c>
      <c r="H1072" s="7">
        <v>1948</v>
      </c>
    </row>
    <row r="1073" spans="7:8" x14ac:dyDescent="0.3">
      <c r="G1073" s="6" t="s">
        <v>267</v>
      </c>
      <c r="H1073" s="7">
        <v>376</v>
      </c>
    </row>
    <row r="1074" spans="7:8" x14ac:dyDescent="0.3">
      <c r="G1074" s="6" t="s">
        <v>266</v>
      </c>
      <c r="H1074" s="7">
        <v>1</v>
      </c>
    </row>
    <row r="1075" spans="7:8" x14ac:dyDescent="0.3">
      <c r="G1075" s="6" t="s">
        <v>265</v>
      </c>
      <c r="H1075" s="7">
        <v>28</v>
      </c>
    </row>
    <row r="1076" spans="7:8" x14ac:dyDescent="0.3">
      <c r="G1076" s="6" t="s">
        <v>264</v>
      </c>
      <c r="H1076" s="7">
        <v>588</v>
      </c>
    </row>
    <row r="1077" spans="7:8" x14ac:dyDescent="0.3">
      <c r="G1077" s="6" t="s">
        <v>263</v>
      </c>
      <c r="H1077" s="7">
        <v>1</v>
      </c>
    </row>
    <row r="1078" spans="7:8" x14ac:dyDescent="0.3">
      <c r="G1078" s="6" t="s">
        <v>262</v>
      </c>
      <c r="H1078" s="7">
        <v>2406</v>
      </c>
    </row>
    <row r="1079" spans="7:8" x14ac:dyDescent="0.3">
      <c r="G1079" s="6" t="s">
        <v>261</v>
      </c>
      <c r="H1079" s="7">
        <v>91</v>
      </c>
    </row>
    <row r="1080" spans="7:8" x14ac:dyDescent="0.3">
      <c r="G1080" s="6" t="s">
        <v>260</v>
      </c>
      <c r="H1080" s="7">
        <v>198498</v>
      </c>
    </row>
    <row r="1081" spans="7:8" x14ac:dyDescent="0.3">
      <c r="G1081" s="6" t="s">
        <v>259</v>
      </c>
      <c r="H1081" s="7">
        <v>7</v>
      </c>
    </row>
    <row r="1082" spans="7:8" x14ac:dyDescent="0.3">
      <c r="G1082" s="6" t="s">
        <v>258</v>
      </c>
      <c r="H1082" s="7">
        <v>78</v>
      </c>
    </row>
    <row r="1083" spans="7:8" x14ac:dyDescent="0.3">
      <c r="G1083" s="6" t="s">
        <v>257</v>
      </c>
      <c r="H1083" s="7">
        <v>1</v>
      </c>
    </row>
    <row r="1084" spans="7:8" x14ac:dyDescent="0.3">
      <c r="G1084" s="6" t="s">
        <v>256</v>
      </c>
      <c r="H1084" s="7">
        <v>2629</v>
      </c>
    </row>
    <row r="1085" spans="7:8" x14ac:dyDescent="0.3">
      <c r="G1085" s="6" t="s">
        <v>255</v>
      </c>
      <c r="H1085" s="7">
        <v>39</v>
      </c>
    </row>
    <row r="1086" spans="7:8" x14ac:dyDescent="0.3">
      <c r="G1086" s="6" t="s">
        <v>254</v>
      </c>
      <c r="H1086" s="7">
        <v>691</v>
      </c>
    </row>
    <row r="1087" spans="7:8" x14ac:dyDescent="0.3">
      <c r="G1087" s="6" t="s">
        <v>253</v>
      </c>
      <c r="H1087" s="7">
        <v>271</v>
      </c>
    </row>
    <row r="1088" spans="7:8" x14ac:dyDescent="0.3">
      <c r="G1088" s="6" t="s">
        <v>252</v>
      </c>
      <c r="H1088" s="7">
        <v>6</v>
      </c>
    </row>
    <row r="1089" spans="7:8" x14ac:dyDescent="0.3">
      <c r="G1089" s="6" t="s">
        <v>251</v>
      </c>
      <c r="H1089" s="7">
        <v>3460</v>
      </c>
    </row>
    <row r="1090" spans="7:8" x14ac:dyDescent="0.3">
      <c r="G1090" s="6" t="s">
        <v>250</v>
      </c>
      <c r="H1090" s="7">
        <v>89</v>
      </c>
    </row>
    <row r="1091" spans="7:8" x14ac:dyDescent="0.3">
      <c r="G1091" s="6" t="s">
        <v>249</v>
      </c>
      <c r="H1091" s="7">
        <v>8309</v>
      </c>
    </row>
    <row r="1092" spans="7:8" x14ac:dyDescent="0.3">
      <c r="G1092" s="6" t="s">
        <v>248</v>
      </c>
      <c r="H1092" s="7">
        <v>1379</v>
      </c>
    </row>
    <row r="1093" spans="7:8" x14ac:dyDescent="0.3">
      <c r="G1093" s="6" t="s">
        <v>247</v>
      </c>
      <c r="H1093" s="7">
        <v>1575</v>
      </c>
    </row>
    <row r="1094" spans="7:8" x14ac:dyDescent="0.3">
      <c r="G1094" s="6" t="s">
        <v>246</v>
      </c>
      <c r="H1094" s="7">
        <v>1123</v>
      </c>
    </row>
    <row r="1095" spans="7:8" x14ac:dyDescent="0.3">
      <c r="G1095" s="6" t="s">
        <v>245</v>
      </c>
      <c r="H1095" s="7">
        <v>1</v>
      </c>
    </row>
    <row r="1096" spans="7:8" x14ac:dyDescent="0.3">
      <c r="G1096" s="6" t="s">
        <v>244</v>
      </c>
      <c r="H1096" s="7">
        <v>402</v>
      </c>
    </row>
    <row r="1097" spans="7:8" x14ac:dyDescent="0.3">
      <c r="G1097" s="6" t="s">
        <v>243</v>
      </c>
      <c r="H1097" s="7">
        <v>6067</v>
      </c>
    </row>
    <row r="1098" spans="7:8" x14ac:dyDescent="0.3">
      <c r="G1098" s="6" t="s">
        <v>242</v>
      </c>
      <c r="H1098" s="7">
        <v>127</v>
      </c>
    </row>
    <row r="1099" spans="7:8" x14ac:dyDescent="0.3">
      <c r="G1099" s="6" t="s">
        <v>241</v>
      </c>
      <c r="H1099" s="7">
        <v>435</v>
      </c>
    </row>
    <row r="1100" spans="7:8" x14ac:dyDescent="0.3">
      <c r="G1100" s="6" t="s">
        <v>240</v>
      </c>
      <c r="H1100" s="7">
        <v>14988</v>
      </c>
    </row>
    <row r="1101" spans="7:8" x14ac:dyDescent="0.3">
      <c r="G1101" s="6" t="s">
        <v>239</v>
      </c>
      <c r="H1101" s="7">
        <v>1569</v>
      </c>
    </row>
    <row r="1102" spans="7:8" x14ac:dyDescent="0.3">
      <c r="G1102" s="6" t="s">
        <v>238</v>
      </c>
      <c r="H1102" s="7">
        <v>4504</v>
      </c>
    </row>
    <row r="1103" spans="7:8" x14ac:dyDescent="0.3">
      <c r="G1103" s="6" t="s">
        <v>237</v>
      </c>
      <c r="H1103" s="7">
        <v>18</v>
      </c>
    </row>
    <row r="1104" spans="7:8" x14ac:dyDescent="0.3">
      <c r="G1104" s="6" t="s">
        <v>236</v>
      </c>
      <c r="H1104" s="7">
        <v>23</v>
      </c>
    </row>
    <row r="1105" spans="7:8" x14ac:dyDescent="0.3">
      <c r="G1105" s="6" t="s">
        <v>235</v>
      </c>
      <c r="H1105" s="7">
        <v>2</v>
      </c>
    </row>
    <row r="1106" spans="7:8" x14ac:dyDescent="0.3">
      <c r="G1106" s="6" t="s">
        <v>234</v>
      </c>
      <c r="H1106" s="7">
        <v>236387</v>
      </c>
    </row>
    <row r="1107" spans="7:8" x14ac:dyDescent="0.3">
      <c r="G1107" s="6" t="s">
        <v>233</v>
      </c>
      <c r="H1107" s="7">
        <v>9</v>
      </c>
    </row>
    <row r="1108" spans="7:8" x14ac:dyDescent="0.3">
      <c r="G1108" s="6" t="s">
        <v>232</v>
      </c>
      <c r="H1108" s="7">
        <v>5</v>
      </c>
    </row>
    <row r="1109" spans="7:8" x14ac:dyDescent="0.3">
      <c r="G1109" s="6" t="s">
        <v>231</v>
      </c>
      <c r="H1109" s="7">
        <v>29</v>
      </c>
    </row>
    <row r="1110" spans="7:8" x14ac:dyDescent="0.3">
      <c r="G1110" s="6" t="s">
        <v>230</v>
      </c>
      <c r="H1110" s="7">
        <v>2</v>
      </c>
    </row>
    <row r="1111" spans="7:8" x14ac:dyDescent="0.3">
      <c r="G1111" s="6" t="s">
        <v>229</v>
      </c>
      <c r="H1111" s="7">
        <v>1122</v>
      </c>
    </row>
    <row r="1112" spans="7:8" x14ac:dyDescent="0.3">
      <c r="G1112" s="6" t="s">
        <v>228</v>
      </c>
      <c r="H1112" s="7">
        <v>8</v>
      </c>
    </row>
    <row r="1113" spans="7:8" x14ac:dyDescent="0.3">
      <c r="G1113" s="6" t="s">
        <v>227</v>
      </c>
      <c r="H1113" s="7">
        <v>343</v>
      </c>
    </row>
    <row r="1114" spans="7:8" x14ac:dyDescent="0.3">
      <c r="G1114" s="6" t="s">
        <v>226</v>
      </c>
      <c r="H1114" s="7">
        <v>1</v>
      </c>
    </row>
    <row r="1115" spans="7:8" x14ac:dyDescent="0.3">
      <c r="G1115" s="6" t="s">
        <v>225</v>
      </c>
      <c r="H1115" s="7">
        <v>11228</v>
      </c>
    </row>
    <row r="1116" spans="7:8" x14ac:dyDescent="0.3">
      <c r="G1116" s="6" t="s">
        <v>224</v>
      </c>
      <c r="H1116" s="7">
        <v>2236</v>
      </c>
    </row>
    <row r="1117" spans="7:8" x14ac:dyDescent="0.3">
      <c r="G1117" s="6" t="s">
        <v>223</v>
      </c>
      <c r="H1117" s="7">
        <v>599</v>
      </c>
    </row>
    <row r="1118" spans="7:8" x14ac:dyDescent="0.3">
      <c r="G1118" s="6" t="s">
        <v>222</v>
      </c>
      <c r="H1118" s="7">
        <v>20</v>
      </c>
    </row>
    <row r="1119" spans="7:8" x14ac:dyDescent="0.3">
      <c r="G1119" s="6" t="s">
        <v>221</v>
      </c>
      <c r="H1119" s="7">
        <v>1</v>
      </c>
    </row>
    <row r="1120" spans="7:8" x14ac:dyDescent="0.3">
      <c r="G1120" s="6" t="s">
        <v>220</v>
      </c>
      <c r="H1120" s="7">
        <v>170</v>
      </c>
    </row>
    <row r="1121" spans="7:8" x14ac:dyDescent="0.3">
      <c r="G1121" s="6" t="s">
        <v>219</v>
      </c>
      <c r="H1121" s="7">
        <v>3266</v>
      </c>
    </row>
    <row r="1122" spans="7:8" x14ac:dyDescent="0.3">
      <c r="G1122" s="6" t="s">
        <v>218</v>
      </c>
      <c r="H1122" s="7">
        <v>1</v>
      </c>
    </row>
    <row r="1123" spans="7:8" x14ac:dyDescent="0.3">
      <c r="G1123" s="6" t="s">
        <v>217</v>
      </c>
      <c r="H1123" s="7">
        <v>2</v>
      </c>
    </row>
    <row r="1124" spans="7:8" x14ac:dyDescent="0.3">
      <c r="G1124" s="6" t="s">
        <v>216</v>
      </c>
      <c r="H1124" s="7">
        <v>2827</v>
      </c>
    </row>
    <row r="1125" spans="7:8" x14ac:dyDescent="0.3">
      <c r="G1125" s="6" t="s">
        <v>215</v>
      </c>
      <c r="H1125" s="7">
        <v>2257</v>
      </c>
    </row>
    <row r="1126" spans="7:8" x14ac:dyDescent="0.3">
      <c r="G1126" s="6" t="s">
        <v>214</v>
      </c>
      <c r="H1126" s="7">
        <v>5</v>
      </c>
    </row>
    <row r="1127" spans="7:8" x14ac:dyDescent="0.3">
      <c r="G1127" s="6" t="s">
        <v>213</v>
      </c>
      <c r="H1127" s="7">
        <v>857</v>
      </c>
    </row>
    <row r="1128" spans="7:8" x14ac:dyDescent="0.3">
      <c r="G1128" s="6" t="s">
        <v>212</v>
      </c>
      <c r="H1128" s="7">
        <v>30</v>
      </c>
    </row>
    <row r="1129" spans="7:8" x14ac:dyDescent="0.3">
      <c r="G1129" s="6" t="s">
        <v>211</v>
      </c>
      <c r="H1129" s="7">
        <v>11</v>
      </c>
    </row>
    <row r="1130" spans="7:8" x14ac:dyDescent="0.3">
      <c r="G1130" s="6" t="s">
        <v>210</v>
      </c>
      <c r="H1130" s="7">
        <v>8</v>
      </c>
    </row>
    <row r="1131" spans="7:8" x14ac:dyDescent="0.3">
      <c r="G1131" s="6" t="s">
        <v>209</v>
      </c>
      <c r="H1131" s="7">
        <v>1048</v>
      </c>
    </row>
    <row r="1132" spans="7:8" x14ac:dyDescent="0.3">
      <c r="G1132" s="6" t="s">
        <v>208</v>
      </c>
      <c r="H1132" s="7">
        <v>597</v>
      </c>
    </row>
    <row r="1133" spans="7:8" x14ac:dyDescent="0.3">
      <c r="G1133" s="6" t="s">
        <v>207</v>
      </c>
      <c r="H1133" s="7">
        <v>5</v>
      </c>
    </row>
    <row r="1134" spans="7:8" x14ac:dyDescent="0.3">
      <c r="G1134" s="6" t="s">
        <v>206</v>
      </c>
      <c r="H1134" s="7">
        <v>138</v>
      </c>
    </row>
    <row r="1135" spans="7:8" x14ac:dyDescent="0.3">
      <c r="G1135" s="6" t="s">
        <v>205</v>
      </c>
      <c r="H1135" s="7">
        <v>21</v>
      </c>
    </row>
    <row r="1136" spans="7:8" x14ac:dyDescent="0.3">
      <c r="G1136" s="6" t="s">
        <v>204</v>
      </c>
      <c r="H1136" s="7">
        <v>1</v>
      </c>
    </row>
    <row r="1137" spans="7:8" x14ac:dyDescent="0.3">
      <c r="G1137" s="6" t="s">
        <v>203</v>
      </c>
      <c r="H1137" s="7">
        <v>100</v>
      </c>
    </row>
    <row r="1138" spans="7:8" x14ac:dyDescent="0.3">
      <c r="G1138" s="6" t="s">
        <v>202</v>
      </c>
      <c r="H1138" s="7">
        <v>11</v>
      </c>
    </row>
    <row r="1139" spans="7:8" x14ac:dyDescent="0.3">
      <c r="G1139" s="6" t="s">
        <v>201</v>
      </c>
      <c r="H1139" s="7">
        <v>79</v>
      </c>
    </row>
    <row r="1140" spans="7:8" x14ac:dyDescent="0.3">
      <c r="G1140" s="6" t="s">
        <v>200</v>
      </c>
      <c r="H1140" s="7">
        <v>5</v>
      </c>
    </row>
    <row r="1141" spans="7:8" x14ac:dyDescent="0.3">
      <c r="G1141" s="6" t="s">
        <v>199</v>
      </c>
      <c r="H1141" s="7">
        <v>1</v>
      </c>
    </row>
    <row r="1142" spans="7:8" x14ac:dyDescent="0.3">
      <c r="G1142" s="6" t="s">
        <v>198</v>
      </c>
      <c r="H1142" s="7">
        <v>2947</v>
      </c>
    </row>
    <row r="1143" spans="7:8" x14ac:dyDescent="0.3">
      <c r="G1143" s="6" t="s">
        <v>197</v>
      </c>
      <c r="H1143" s="7">
        <v>141805</v>
      </c>
    </row>
    <row r="1144" spans="7:8" x14ac:dyDescent="0.3">
      <c r="G1144" s="6" t="s">
        <v>196</v>
      </c>
      <c r="H1144" s="7">
        <v>3151</v>
      </c>
    </row>
    <row r="1145" spans="7:8" x14ac:dyDescent="0.3">
      <c r="G1145" s="6" t="s">
        <v>195</v>
      </c>
      <c r="H1145" s="7">
        <v>2</v>
      </c>
    </row>
    <row r="1146" spans="7:8" x14ac:dyDescent="0.3">
      <c r="G1146" s="6" t="s">
        <v>194</v>
      </c>
      <c r="H1146" s="7">
        <v>6193</v>
      </c>
    </row>
    <row r="1147" spans="7:8" x14ac:dyDescent="0.3">
      <c r="G1147" s="6" t="s">
        <v>193</v>
      </c>
      <c r="H1147" s="7">
        <v>430</v>
      </c>
    </row>
    <row r="1148" spans="7:8" x14ac:dyDescent="0.3">
      <c r="G1148" s="6" t="s">
        <v>192</v>
      </c>
      <c r="H1148" s="7">
        <v>1</v>
      </c>
    </row>
    <row r="1149" spans="7:8" x14ac:dyDescent="0.3">
      <c r="G1149" s="6" t="s">
        <v>191</v>
      </c>
      <c r="H1149" s="7">
        <v>889</v>
      </c>
    </row>
    <row r="1150" spans="7:8" x14ac:dyDescent="0.3">
      <c r="G1150" s="6" t="s">
        <v>190</v>
      </c>
      <c r="H1150" s="7">
        <v>348</v>
      </c>
    </row>
    <row r="1151" spans="7:8" x14ac:dyDescent="0.3">
      <c r="G1151" s="6" t="s">
        <v>189</v>
      </c>
      <c r="H1151" s="7">
        <v>6</v>
      </c>
    </row>
    <row r="1152" spans="7:8" x14ac:dyDescent="0.3">
      <c r="G1152" s="6" t="s">
        <v>188</v>
      </c>
      <c r="H1152" s="7">
        <v>206</v>
      </c>
    </row>
    <row r="1153" spans="7:8" x14ac:dyDescent="0.3">
      <c r="G1153" s="6" t="s">
        <v>187</v>
      </c>
      <c r="H1153" s="7">
        <v>118</v>
      </c>
    </row>
    <row r="1154" spans="7:8" x14ac:dyDescent="0.3">
      <c r="G1154" s="6" t="s">
        <v>186</v>
      </c>
      <c r="H1154" s="7">
        <v>4312</v>
      </c>
    </row>
    <row r="1155" spans="7:8" x14ac:dyDescent="0.3">
      <c r="G1155" s="6" t="s">
        <v>185</v>
      </c>
      <c r="H1155" s="7">
        <v>6814</v>
      </c>
    </row>
    <row r="1156" spans="7:8" x14ac:dyDescent="0.3">
      <c r="G1156" s="6" t="s">
        <v>184</v>
      </c>
      <c r="H1156" s="7">
        <v>29243</v>
      </c>
    </row>
    <row r="1157" spans="7:8" x14ac:dyDescent="0.3">
      <c r="G1157" s="6" t="s">
        <v>183</v>
      </c>
      <c r="H1157" s="7">
        <v>190</v>
      </c>
    </row>
    <row r="1158" spans="7:8" x14ac:dyDescent="0.3">
      <c r="G1158" s="6" t="s">
        <v>182</v>
      </c>
      <c r="H1158" s="7">
        <v>25</v>
      </c>
    </row>
    <row r="1159" spans="7:8" x14ac:dyDescent="0.3">
      <c r="G1159" s="6" t="s">
        <v>180</v>
      </c>
      <c r="H1159" s="7">
        <v>93</v>
      </c>
    </row>
    <row r="1160" spans="7:8" x14ac:dyDescent="0.3">
      <c r="G1160" s="6" t="s">
        <v>179</v>
      </c>
      <c r="H1160" s="7">
        <v>1</v>
      </c>
    </row>
    <row r="1161" spans="7:8" x14ac:dyDescent="0.3">
      <c r="G1161" s="6" t="s">
        <v>178</v>
      </c>
      <c r="H1161" s="7">
        <v>1186</v>
      </c>
    </row>
    <row r="1162" spans="7:8" x14ac:dyDescent="0.3">
      <c r="G1162" s="6" t="s">
        <v>177</v>
      </c>
      <c r="H1162" s="7">
        <v>1</v>
      </c>
    </row>
    <row r="1163" spans="7:8" x14ac:dyDescent="0.3">
      <c r="G1163" s="6" t="s">
        <v>176</v>
      </c>
      <c r="H1163" s="7">
        <v>1</v>
      </c>
    </row>
    <row r="1164" spans="7:8" x14ac:dyDescent="0.3">
      <c r="G1164" s="6" t="s">
        <v>175</v>
      </c>
      <c r="H1164" s="7">
        <v>332</v>
      </c>
    </row>
    <row r="1165" spans="7:8" x14ac:dyDescent="0.3">
      <c r="G1165" s="6" t="s">
        <v>174</v>
      </c>
      <c r="H1165" s="7">
        <v>1</v>
      </c>
    </row>
    <row r="1166" spans="7:8" x14ac:dyDescent="0.3">
      <c r="G1166" s="6" t="s">
        <v>173</v>
      </c>
      <c r="H1166" s="7">
        <v>2</v>
      </c>
    </row>
    <row r="1167" spans="7:8" x14ac:dyDescent="0.3">
      <c r="G1167" s="6" t="s">
        <v>172</v>
      </c>
      <c r="H1167" s="7">
        <v>1</v>
      </c>
    </row>
    <row r="1168" spans="7:8" x14ac:dyDescent="0.3">
      <c r="G1168" s="6" t="s">
        <v>171</v>
      </c>
      <c r="H1168" s="7">
        <v>8</v>
      </c>
    </row>
    <row r="1169" spans="7:8" x14ac:dyDescent="0.3">
      <c r="G1169" s="6" t="s">
        <v>170</v>
      </c>
      <c r="H1169" s="7">
        <v>1</v>
      </c>
    </row>
    <row r="1170" spans="7:8" x14ac:dyDescent="0.3">
      <c r="G1170" s="6" t="s">
        <v>169</v>
      </c>
      <c r="H1170" s="7">
        <v>367</v>
      </c>
    </row>
    <row r="1171" spans="7:8" x14ac:dyDescent="0.3">
      <c r="G1171" s="6" t="s">
        <v>168</v>
      </c>
      <c r="H1171" s="7">
        <v>360</v>
      </c>
    </row>
    <row r="1172" spans="7:8" x14ac:dyDescent="0.3">
      <c r="G1172" s="6" t="s">
        <v>167</v>
      </c>
      <c r="H1172" s="7">
        <v>280</v>
      </c>
    </row>
    <row r="1173" spans="7:8" x14ac:dyDescent="0.3">
      <c r="G1173" s="6" t="s">
        <v>166</v>
      </c>
      <c r="H1173" s="7">
        <v>1290</v>
      </c>
    </row>
    <row r="1174" spans="7:8" x14ac:dyDescent="0.3">
      <c r="G1174" s="6" t="s">
        <v>165</v>
      </c>
      <c r="H1174" s="7">
        <v>10</v>
      </c>
    </row>
    <row r="1175" spans="7:8" x14ac:dyDescent="0.3">
      <c r="G1175" s="6" t="s">
        <v>164</v>
      </c>
      <c r="H1175" s="7">
        <v>23</v>
      </c>
    </row>
    <row r="1176" spans="7:8" x14ac:dyDescent="0.3">
      <c r="G1176" s="6" t="s">
        <v>163</v>
      </c>
      <c r="H1176" s="7">
        <v>1840</v>
      </c>
    </row>
    <row r="1177" spans="7:8" x14ac:dyDescent="0.3">
      <c r="G1177" s="6" t="s">
        <v>162</v>
      </c>
      <c r="H1177" s="7">
        <v>18</v>
      </c>
    </row>
    <row r="1178" spans="7:8" x14ac:dyDescent="0.3">
      <c r="G1178" s="6" t="s">
        <v>161</v>
      </c>
      <c r="H1178" s="7">
        <v>12</v>
      </c>
    </row>
    <row r="1179" spans="7:8" x14ac:dyDescent="0.3">
      <c r="G1179" s="6" t="s">
        <v>160</v>
      </c>
      <c r="H1179" s="7">
        <v>2430</v>
      </c>
    </row>
    <row r="1180" spans="7:8" x14ac:dyDescent="0.3">
      <c r="G1180" s="6" t="s">
        <v>159</v>
      </c>
      <c r="H1180" s="7">
        <v>60</v>
      </c>
    </row>
    <row r="1181" spans="7:8" x14ac:dyDescent="0.3">
      <c r="G1181" s="6" t="s">
        <v>158</v>
      </c>
      <c r="H1181" s="7">
        <v>1</v>
      </c>
    </row>
    <row r="1182" spans="7:8" x14ac:dyDescent="0.3">
      <c r="G1182" s="6" t="s">
        <v>157</v>
      </c>
      <c r="H1182" s="7">
        <v>1</v>
      </c>
    </row>
    <row r="1183" spans="7:8" x14ac:dyDescent="0.3">
      <c r="G1183" s="6" t="s">
        <v>156</v>
      </c>
      <c r="H1183" s="7">
        <v>1</v>
      </c>
    </row>
    <row r="1184" spans="7:8" x14ac:dyDescent="0.3">
      <c r="G1184" s="6" t="s">
        <v>155</v>
      </c>
      <c r="H1184" s="7">
        <v>46</v>
      </c>
    </row>
    <row r="1185" spans="7:8" x14ac:dyDescent="0.3">
      <c r="G1185" s="6" t="s">
        <v>154</v>
      </c>
      <c r="H1185" s="7">
        <v>16</v>
      </c>
    </row>
    <row r="1186" spans="7:8" x14ac:dyDescent="0.3">
      <c r="G1186" s="6" t="s">
        <v>153</v>
      </c>
      <c r="H1186" s="7">
        <v>2684</v>
      </c>
    </row>
    <row r="1187" spans="7:8" x14ac:dyDescent="0.3">
      <c r="G1187" s="6" t="s">
        <v>152</v>
      </c>
      <c r="H1187" s="7">
        <v>62</v>
      </c>
    </row>
    <row r="1188" spans="7:8" x14ac:dyDescent="0.3">
      <c r="G1188" s="6" t="s">
        <v>151</v>
      </c>
      <c r="H1188" s="7">
        <v>669</v>
      </c>
    </row>
    <row r="1189" spans="7:8" x14ac:dyDescent="0.3">
      <c r="G1189" s="6" t="s">
        <v>150</v>
      </c>
      <c r="H1189" s="7">
        <v>1649</v>
      </c>
    </row>
    <row r="1190" spans="7:8" x14ac:dyDescent="0.3">
      <c r="G1190" s="6" t="s">
        <v>149</v>
      </c>
      <c r="H1190" s="7">
        <v>333</v>
      </c>
    </row>
    <row r="1191" spans="7:8" x14ac:dyDescent="0.3">
      <c r="G1191" s="6" t="s">
        <v>148</v>
      </c>
      <c r="H1191" s="7">
        <v>2</v>
      </c>
    </row>
    <row r="1192" spans="7:8" x14ac:dyDescent="0.3">
      <c r="G1192" s="6" t="s">
        <v>147</v>
      </c>
      <c r="H1192" s="7">
        <v>5132</v>
      </c>
    </row>
    <row r="1193" spans="7:8" x14ac:dyDescent="0.3">
      <c r="G1193" s="6" t="s">
        <v>146</v>
      </c>
      <c r="H1193" s="7">
        <v>164</v>
      </c>
    </row>
    <row r="1194" spans="7:8" x14ac:dyDescent="0.3">
      <c r="G1194" s="6" t="s">
        <v>145</v>
      </c>
      <c r="H1194" s="7">
        <v>10</v>
      </c>
    </row>
    <row r="1195" spans="7:8" x14ac:dyDescent="0.3">
      <c r="G1195" s="6" t="s">
        <v>144</v>
      </c>
      <c r="H1195" s="7">
        <v>66</v>
      </c>
    </row>
    <row r="1196" spans="7:8" x14ac:dyDescent="0.3">
      <c r="G1196" s="6" t="s">
        <v>143</v>
      </c>
      <c r="H1196" s="7">
        <v>1</v>
      </c>
    </row>
    <row r="1197" spans="7:8" x14ac:dyDescent="0.3">
      <c r="G1197" s="6" t="s">
        <v>142</v>
      </c>
      <c r="H1197" s="7">
        <v>3</v>
      </c>
    </row>
    <row r="1198" spans="7:8" x14ac:dyDescent="0.3">
      <c r="G1198" s="6" t="s">
        <v>141</v>
      </c>
      <c r="H1198" s="7">
        <v>582</v>
      </c>
    </row>
    <row r="1199" spans="7:8" x14ac:dyDescent="0.3">
      <c r="G1199" s="6" t="s">
        <v>140</v>
      </c>
      <c r="H1199" s="7">
        <v>2965</v>
      </c>
    </row>
    <row r="1200" spans="7:8" x14ac:dyDescent="0.3">
      <c r="G1200" s="6" t="s">
        <v>139</v>
      </c>
      <c r="H1200" s="7">
        <v>182</v>
      </c>
    </row>
    <row r="1201" spans="7:8" x14ac:dyDescent="0.3">
      <c r="G1201" s="6" t="s">
        <v>138</v>
      </c>
      <c r="H1201" s="7">
        <v>3</v>
      </c>
    </row>
    <row r="1202" spans="7:8" x14ac:dyDescent="0.3">
      <c r="G1202" s="6" t="s">
        <v>137</v>
      </c>
      <c r="H1202" s="7">
        <v>1</v>
      </c>
    </row>
    <row r="1203" spans="7:8" x14ac:dyDescent="0.3">
      <c r="G1203" s="6" t="s">
        <v>135</v>
      </c>
      <c r="H1203" s="7">
        <v>1073</v>
      </c>
    </row>
    <row r="1204" spans="7:8" x14ac:dyDescent="0.3">
      <c r="G1204" s="6" t="s">
        <v>134</v>
      </c>
      <c r="H1204" s="7">
        <v>3</v>
      </c>
    </row>
    <row r="1205" spans="7:8" x14ac:dyDescent="0.3">
      <c r="G1205" s="6" t="s">
        <v>132</v>
      </c>
      <c r="H1205" s="7">
        <v>1098</v>
      </c>
    </row>
    <row r="1206" spans="7:8" x14ac:dyDescent="0.3">
      <c r="G1206" s="6" t="s">
        <v>1366</v>
      </c>
      <c r="H1206" s="7">
        <v>4420903</v>
      </c>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7"/>
  <sheetViews>
    <sheetView showGridLines="0" tabSelected="1" view="pageBreakPreview" zoomScale="60" zoomScaleNormal="70" workbookViewId="0">
      <selection activeCell="AC12" sqref="AC12"/>
    </sheetView>
  </sheetViews>
  <sheetFormatPr defaultRowHeight="14.4" x14ac:dyDescent="0.3"/>
  <cols>
    <col min="1" max="1" width="13" bestFit="1" customWidth="1"/>
    <col min="3" max="3" width="13.5546875" bestFit="1" customWidth="1"/>
    <col min="20" max="20" width="10.88671875" bestFit="1" customWidth="1"/>
    <col min="21" max="21" width="11.21875" bestFit="1" customWidth="1"/>
    <col min="23" max="23" width="10.88671875" bestFit="1" customWidth="1"/>
  </cols>
  <sheetData>
    <row r="1" spans="1:28" ht="24" customHeight="1" x14ac:dyDescent="0.3">
      <c r="A1" s="20" t="s">
        <v>1388</v>
      </c>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ht="24" customHeight="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ht="14.4" customHeight="1" x14ac:dyDescent="0.5">
      <c r="A3" s="9"/>
      <c r="B3" s="9"/>
      <c r="C3" s="9">
        <f>GETPIVOTDATA("Total sales",Analysis!$A$1)</f>
        <v>4420903</v>
      </c>
      <c r="D3" s="9"/>
      <c r="E3" s="9"/>
      <c r="F3" s="9"/>
      <c r="G3" s="9"/>
      <c r="H3" s="18" t="str">
        <f>Analysis!B9</f>
        <v>2W</v>
      </c>
      <c r="I3" s="10"/>
      <c r="J3" s="18" t="str">
        <f>Analysis!E45</f>
        <v>TWO WHEELER(NT)</v>
      </c>
      <c r="K3" s="10"/>
      <c r="L3" s="10"/>
      <c r="M3" s="10"/>
      <c r="N3" s="11"/>
      <c r="O3" s="11"/>
      <c r="P3" s="11"/>
      <c r="Q3" s="12" t="str">
        <f>Analysis!M13</f>
        <v>OLA ELECTRIC TECHNOLOGIES PVT LTD</v>
      </c>
      <c r="R3" s="11"/>
      <c r="S3" s="11"/>
      <c r="T3" s="19">
        <f>GETPIVOTDATA("[Measures].[Sum of No of Operational PCS]",Analysis!$B$49)</f>
        <v>12324</v>
      </c>
      <c r="U3" s="14"/>
      <c r="V3" s="13"/>
      <c r="W3" s="19">
        <f>GETPIVOTDATA("[Measures].[Sum of No of Operational PCS]",Analysis!$B$49)</f>
        <v>12324</v>
      </c>
      <c r="X3" s="13"/>
      <c r="Y3" s="13"/>
      <c r="Z3" s="13"/>
      <c r="AA3" s="15"/>
      <c r="AB3" s="15"/>
    </row>
    <row r="4" spans="1:28" ht="14.4" customHeight="1" x14ac:dyDescent="0.5">
      <c r="A4" s="9"/>
      <c r="B4" s="9"/>
      <c r="C4" s="9"/>
      <c r="D4" s="9"/>
      <c r="E4" s="9"/>
      <c r="F4" s="9"/>
      <c r="G4" s="9"/>
      <c r="H4" s="10"/>
      <c r="I4" s="10" t="str">
        <f>Analysis!B9</f>
        <v>2W</v>
      </c>
      <c r="J4" s="10"/>
      <c r="K4" s="10"/>
      <c r="L4" s="10"/>
      <c r="M4" s="10"/>
      <c r="N4" s="11"/>
      <c r="O4" s="11"/>
      <c r="P4" s="11"/>
      <c r="Q4" s="11"/>
      <c r="R4" s="11"/>
      <c r="S4" s="11"/>
      <c r="T4" s="13"/>
      <c r="U4" s="13"/>
      <c r="V4" s="13"/>
      <c r="W4" s="13"/>
      <c r="X4" s="13"/>
      <c r="Y4" s="13"/>
      <c r="Z4" s="13"/>
      <c r="AA4" s="15"/>
      <c r="AB4" s="15"/>
    </row>
    <row r="5" spans="1:28" ht="14.4" customHeight="1" x14ac:dyDescent="0.5">
      <c r="A5" s="9"/>
      <c r="B5" s="9"/>
      <c r="C5" s="9"/>
      <c r="D5" s="9"/>
      <c r="E5" s="9"/>
      <c r="F5" s="9"/>
      <c r="G5" s="9"/>
      <c r="H5" s="10"/>
      <c r="I5" s="10"/>
      <c r="J5" s="10"/>
      <c r="K5" s="10"/>
      <c r="L5" s="10"/>
      <c r="M5" s="10"/>
      <c r="N5" s="11"/>
      <c r="O5" s="11"/>
      <c r="P5" s="11"/>
      <c r="Q5" s="11"/>
      <c r="R5" s="11"/>
      <c r="S5" s="11"/>
      <c r="T5" s="13"/>
      <c r="U5" s="13"/>
      <c r="V5" s="13"/>
      <c r="W5" s="13"/>
      <c r="X5" s="13"/>
      <c r="Y5" s="13"/>
      <c r="Z5" s="13"/>
      <c r="AA5" s="15"/>
      <c r="AB5" s="15"/>
    </row>
    <row r="6" spans="1:28" ht="15" customHeight="1" x14ac:dyDescent="0.5">
      <c r="A6" s="9"/>
      <c r="B6" s="9"/>
      <c r="C6" s="9"/>
      <c r="D6" s="9"/>
      <c r="E6" s="9"/>
      <c r="F6" s="9"/>
      <c r="G6" s="9"/>
      <c r="H6" s="10"/>
      <c r="I6" s="10"/>
      <c r="J6" s="10"/>
      <c r="K6" s="10"/>
      <c r="L6" s="10"/>
      <c r="M6" s="10"/>
      <c r="N6" s="11"/>
      <c r="O6" s="11"/>
      <c r="P6" s="11"/>
      <c r="Q6" s="11"/>
      <c r="R6" s="11"/>
      <c r="S6" s="11"/>
      <c r="T6" s="13"/>
      <c r="U6" s="13"/>
      <c r="V6" s="13"/>
      <c r="W6" s="13"/>
      <c r="X6" s="13"/>
      <c r="Y6" s="13"/>
      <c r="Z6" s="13"/>
      <c r="AA6" s="15"/>
      <c r="AB6" s="15"/>
    </row>
    <row r="7" spans="1:28" x14ac:dyDescent="0.3">
      <c r="A7" s="16"/>
      <c r="B7" s="16"/>
      <c r="C7" s="16"/>
      <c r="D7" s="16"/>
      <c r="E7" s="17"/>
      <c r="F7" s="17"/>
      <c r="G7" s="17"/>
      <c r="H7" s="17"/>
      <c r="I7" s="17"/>
      <c r="J7" s="17"/>
      <c r="K7" s="17"/>
      <c r="L7" s="17"/>
      <c r="M7" s="15"/>
      <c r="N7" s="15"/>
      <c r="O7" s="15"/>
      <c r="P7" s="15"/>
      <c r="Q7" s="15"/>
      <c r="R7" s="15"/>
      <c r="S7" s="15"/>
      <c r="T7" s="16"/>
      <c r="U7" s="16"/>
      <c r="V7" s="16"/>
      <c r="W7" s="16"/>
      <c r="X7" s="15"/>
      <c r="Y7" s="15"/>
      <c r="Z7" s="15"/>
      <c r="AA7" s="15"/>
      <c r="AB7" s="15"/>
    </row>
    <row r="8" spans="1:28" x14ac:dyDescent="0.3">
      <c r="A8" s="16"/>
      <c r="B8" s="16"/>
      <c r="C8" s="16"/>
      <c r="D8" s="16"/>
      <c r="E8" s="17"/>
      <c r="F8" s="17"/>
      <c r="G8" s="17"/>
      <c r="H8" s="17"/>
      <c r="I8" s="17"/>
      <c r="J8" s="17"/>
      <c r="K8" s="17"/>
      <c r="L8" s="17"/>
      <c r="M8" s="15"/>
      <c r="N8" s="15"/>
      <c r="O8" s="15"/>
      <c r="P8" s="15"/>
      <c r="Q8" s="15"/>
      <c r="R8" s="15"/>
      <c r="S8" s="15"/>
      <c r="T8" s="16"/>
      <c r="U8" s="16"/>
      <c r="V8" s="16"/>
      <c r="W8" s="16"/>
      <c r="X8" s="15"/>
      <c r="Y8" s="15"/>
      <c r="Z8" s="15"/>
      <c r="AA8" s="15"/>
      <c r="AB8" s="15"/>
    </row>
    <row r="9" spans="1:28"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row>
    <row r="10" spans="1:28"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row>
    <row r="11" spans="1:28"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row>
    <row r="12" spans="1:28"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row>
    <row r="13" spans="1:28"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row>
    <row r="14" spans="1:28"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row>
    <row r="15" spans="1:28"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row>
    <row r="16" spans="1:28"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row>
    <row r="17" spans="1:28"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row>
    <row r="18" spans="1:28"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row>
    <row r="19" spans="1:28"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row>
    <row r="20" spans="1:28"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row>
    <row r="21" spans="1:28"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row>
    <row r="22" spans="1:28"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row>
    <row r="23" spans="1:28"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row>
    <row r="24" spans="1:28"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row>
    <row r="25" spans="1:28"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row>
    <row r="26" spans="1:28"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row>
    <row r="27" spans="1:28"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row>
    <row r="28" spans="1:28"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row>
    <row r="29" spans="1:28"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row>
    <row r="30" spans="1:28"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28"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row>
    <row r="32" spans="1:28"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row>
    <row r="33" spans="1:28"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row>
    <row r="34" spans="1:28"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spans="1:28"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spans="1:28"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spans="1:28"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row r="38" spans="1:28"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row>
    <row r="39" spans="1:28"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row>
    <row r="40" spans="1:28"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row>
    <row r="41" spans="1:28"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row>
    <row r="42" spans="1:28"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spans="1:28"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spans="1:28"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spans="1:28"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spans="1:28"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spans="1:28"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sheetData>
  <mergeCells count="1">
    <mergeCell ref="A1:AB2"/>
  </mergeCells>
  <pageMargins left="0.7" right="0.7" top="0.75" bottom="0.75" header="0.3" footer="0.3"/>
  <pageSetup scale="34"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A89B99F-9F6F-4AE6-997A-F691B84DD844}">
  <ds:schemaRefs/>
</ds:datastoreItem>
</file>

<file path=customXml/itemProps2.xml><?xml version="1.0" encoding="utf-8"?>
<ds:datastoreItem xmlns:ds="http://schemas.openxmlformats.org/officeDocument/2006/customXml" ds:itemID="{BEF82549-9B0D-4C20-A4D7-85781D6B5591}">
  <ds:schemaRefs/>
</ds:datastoreItem>
</file>

<file path=customXml/itemProps3.xml><?xml version="1.0" encoding="utf-8"?>
<ds:datastoreItem xmlns:ds="http://schemas.openxmlformats.org/officeDocument/2006/customXml" ds:itemID="{DA68B792-1C17-43D2-8952-3593429BB382}">
  <ds:schemaRefs/>
</ds:datastoreItem>
</file>

<file path=customXml/itemProps4.xml><?xml version="1.0" encoding="utf-8"?>
<ds:datastoreItem xmlns:ds="http://schemas.openxmlformats.org/officeDocument/2006/customXml" ds:itemID="{49DA5FD7-6B22-4EA5-8D9D-B6B1A76404AA}">
  <ds:schemaRefs/>
</ds:datastoreItem>
</file>

<file path=customXml/itemProps5.xml><?xml version="1.0" encoding="utf-8"?>
<ds:datastoreItem xmlns:ds="http://schemas.openxmlformats.org/officeDocument/2006/customXml" ds:itemID="{AC30A95E-513E-4264-A110-747C64E57E08}">
  <ds:schemaRefs/>
</ds:datastoreItem>
</file>

<file path=customXml/itemProps6.xml><?xml version="1.0" encoding="utf-8"?>
<ds:datastoreItem xmlns:ds="http://schemas.openxmlformats.org/officeDocument/2006/customXml" ds:itemID="{E03030E8-CBD7-4257-880D-B29ED602FCA9}">
  <ds:schemaRefs/>
</ds:datastoreItem>
</file>

<file path=customXml/itemProps7.xml><?xml version="1.0" encoding="utf-8"?>
<ds:datastoreItem xmlns:ds="http://schemas.openxmlformats.org/officeDocument/2006/customXml" ds:itemID="{542EEA02-A646-48FE-8AC8-759FF4A8B55E}">
  <ds:schemaRefs/>
</ds:datastoreItem>
</file>

<file path=customXml/itemProps8.xml><?xml version="1.0" encoding="utf-8"?>
<ds:datastoreItem xmlns:ds="http://schemas.openxmlformats.org/officeDocument/2006/customXml" ds:itemID="{9A63C720-2FA6-49A9-B883-DD64F390AA6D}">
  <ds:schemaRefs/>
</ds:datastoreItem>
</file>

<file path=customXml/itemProps9.xml><?xml version="1.0" encoding="utf-8"?>
<ds:datastoreItem xmlns:ds="http://schemas.openxmlformats.org/officeDocument/2006/customXml" ds:itemID="{1BD5EF6F-8BEF-4618-9D1B-6627252B1279}">
  <ds:schemaRefs/>
</ds:datastoreItem>
</file>

<file path=customXml/itemProps10.xml><?xml version="1.0" encoding="utf-8"?>
<ds:datastoreItem xmlns:ds="http://schemas.openxmlformats.org/officeDocument/2006/customXml" ds:itemID="{F9843875-3A08-44A0-91D5-A06BB60DC614}">
  <ds:schemaRefs/>
</ds:datastoreItem>
</file>

<file path=customXml/itemProps11.xml><?xml version="1.0" encoding="utf-8"?>
<ds:datastoreItem xmlns:ds="http://schemas.openxmlformats.org/officeDocument/2006/customXml" ds:itemID="{E3419AD7-1607-4D19-862C-1A802BC8DA46}">
  <ds:schemaRefs/>
</ds:datastoreItem>
</file>

<file path=customXml/itemProps12.xml><?xml version="1.0" encoding="utf-8"?>
<ds:datastoreItem xmlns:ds="http://schemas.openxmlformats.org/officeDocument/2006/customXml" ds:itemID="{FC472D2C-6176-4D46-AB41-033E35C68984}">
  <ds:schemaRefs/>
</ds:datastoreItem>
</file>

<file path=customXml/itemProps13.xml><?xml version="1.0" encoding="utf-8"?>
<ds:datastoreItem xmlns:ds="http://schemas.openxmlformats.org/officeDocument/2006/customXml" ds:itemID="{72CCEFAA-BC9F-41B1-A20F-1A1DA821C7C3}">
  <ds:schemaRefs/>
</ds:datastoreItem>
</file>

<file path=customXml/itemProps14.xml><?xml version="1.0" encoding="utf-8"?>
<ds:datastoreItem xmlns:ds="http://schemas.openxmlformats.org/officeDocument/2006/customXml" ds:itemID="{4C7752D4-E04E-4DF2-A684-CD5C5AF823E0}">
  <ds:schemaRefs/>
</ds:datastoreItem>
</file>

<file path=customXml/itemProps15.xml><?xml version="1.0" encoding="utf-8"?>
<ds:datastoreItem xmlns:ds="http://schemas.openxmlformats.org/officeDocument/2006/customXml" ds:itemID="{8FBA164C-AD53-4398-AB82-15A986734049}">
  <ds:schemaRefs/>
</ds:datastoreItem>
</file>

<file path=customXml/itemProps16.xml><?xml version="1.0" encoding="utf-8"?>
<ds:datastoreItem xmlns:ds="http://schemas.openxmlformats.org/officeDocument/2006/customXml" ds:itemID="{4570A9F8-7B2A-4A3B-A7C5-1563560401B6}">
  <ds:schemaRefs/>
</ds:datastoreItem>
</file>

<file path=customXml/itemProps17.xml><?xml version="1.0" encoding="utf-8"?>
<ds:datastoreItem xmlns:ds="http://schemas.openxmlformats.org/officeDocument/2006/customXml" ds:itemID="{7ABD2799-A176-42C7-B45B-5F56AD6B292A}">
  <ds:schemaRefs/>
</ds:datastoreItem>
</file>

<file path=customXml/itemProps18.xml><?xml version="1.0" encoding="utf-8"?>
<ds:datastoreItem xmlns:ds="http://schemas.openxmlformats.org/officeDocument/2006/customXml" ds:itemID="{9B6AF2E3-5A12-4C26-994F-376A73F40E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ev_sales_by_makers_and_cat_15-2</vt:lpstr>
      <vt:lpstr>ev_cat_01-24</vt:lpstr>
      <vt:lpstr>OperationalPC</vt:lpstr>
      <vt:lpstr>Vehicle Class - All</vt:lpstr>
      <vt:lpstr>EV Maker by Place</vt:lpstr>
      <vt:lpstr>Analysis</vt:lpstr>
      <vt:lpstr>Dashboard</vt:lpstr>
      <vt:lpstr>Dashboard!Print_Area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dc:creator>
  <cp:lastModifiedBy>Hardik</cp:lastModifiedBy>
  <cp:lastPrinted>2026-09-02T08:26:54Z</cp:lastPrinted>
  <dcterms:created xsi:type="dcterms:W3CDTF">2026-08-31T06:47:23Z</dcterms:created>
  <dcterms:modified xsi:type="dcterms:W3CDTF">2026-09-03T11:48:59Z</dcterms:modified>
</cp:coreProperties>
</file>